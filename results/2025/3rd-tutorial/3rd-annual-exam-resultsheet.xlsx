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t" sheetId="1" r:id="rId4"/>
    <sheet state="visible" name="5s" sheetId="2" r:id="rId5"/>
    <sheet state="visible" name="5" sheetId="3" r:id="rId6"/>
    <sheet state="visible" name="5r" sheetId="4" r:id="rId7"/>
    <sheet state="visible" name="6t" sheetId="5" r:id="rId8"/>
    <sheet state="visible" name="6s" sheetId="6" r:id="rId9"/>
    <sheet state="visible" name="6" sheetId="7" r:id="rId10"/>
    <sheet state="visible" name="6r" sheetId="8" r:id="rId11"/>
    <sheet state="visible" name="7t" sheetId="9" r:id="rId12"/>
    <sheet state="visible" name="7s" sheetId="10" r:id="rId13"/>
    <sheet state="visible" name="7" sheetId="11" r:id="rId14"/>
    <sheet state="visible" name="7r" sheetId="12" r:id="rId15"/>
    <sheet state="visible" name="8t" sheetId="13" r:id="rId16"/>
    <sheet state="visible" name="8s" sheetId="14" r:id="rId17"/>
    <sheet state="visible" name="8" sheetId="15" r:id="rId18"/>
    <sheet state="visible" name="8r" sheetId="16" r:id="rId19"/>
    <sheet state="visible" name="9t" sheetId="17" r:id="rId20"/>
    <sheet state="visible" name="9s" sheetId="18" r:id="rId21"/>
    <sheet state="visible" name="9" sheetId="19" r:id="rId22"/>
    <sheet state="visible" name="9r" sheetId="20" r:id="rId23"/>
  </sheets>
  <definedNames>
    <definedName name="MY_FUNCTION1">LAMBDA(IF(COUNTA('5'!$F$2:$F$7)=0,"",AVERAGE('5'!$F$2:$F$7)))</definedName>
  </definedNames>
  <calcPr/>
  <extLst>
    <ext uri="GoogleSheetsCustomDataVersion2">
      <go:sheetsCustomData xmlns:go="http://customooxmlschemas.google.com/" r:id="rId24" roundtripDataChecksum="ERlz1++Pzm4pJ0LtPpws0tWNzVU75x2RJi+9TDTNUPY="/>
    </ext>
  </extLst>
</workbook>
</file>

<file path=xl/sharedStrings.xml><?xml version="1.0" encoding="utf-8"?>
<sst xmlns="http://schemas.openxmlformats.org/spreadsheetml/2006/main" count="1076" uniqueCount="94">
  <si>
    <t xml:space="preserve">Hemayetpur Laboratory School and College </t>
  </si>
  <si>
    <t>3rd Tutorial Examination Marksheet-2025</t>
  </si>
  <si>
    <t xml:space="preserve">Class: Five </t>
  </si>
  <si>
    <t>SN</t>
  </si>
  <si>
    <t xml:space="preserve">Student’s Name </t>
  </si>
  <si>
    <t>Subject’s Name &amp; Marks</t>
  </si>
  <si>
    <t>Bangla</t>
  </si>
  <si>
    <t xml:space="preserve">English </t>
  </si>
  <si>
    <t>Math.</t>
  </si>
  <si>
    <t xml:space="preserve">Science </t>
  </si>
  <si>
    <t>B.G.S</t>
  </si>
  <si>
    <t>Religion</t>
  </si>
  <si>
    <t>Total</t>
  </si>
  <si>
    <t>Rank</t>
  </si>
  <si>
    <t>SUBORNA AKTER JUI</t>
  </si>
  <si>
    <t>JANNATUL FERDOUS</t>
  </si>
  <si>
    <t>SHAWRIN KHAN SUROVI</t>
  </si>
  <si>
    <t>SAMIUL HAQUE SAIM</t>
  </si>
  <si>
    <t>BORHAN MIA</t>
  </si>
  <si>
    <t>AZMIRA AKTER DINA</t>
  </si>
  <si>
    <t>SHAMMI AKTER JUI</t>
  </si>
  <si>
    <t>ROJJOB</t>
  </si>
  <si>
    <t>SHIRHUDZZAMAN TAMIM</t>
  </si>
  <si>
    <t>SHABBIR HOSSAN</t>
  </si>
  <si>
    <t>FIROJ BABU</t>
  </si>
  <si>
    <t>SAFAYET HOSSEN</t>
  </si>
  <si>
    <t>RIFAT HOSSEN</t>
  </si>
  <si>
    <t>SHAWON</t>
  </si>
  <si>
    <t>NUSRAT MAHI</t>
  </si>
  <si>
    <t>MOSADDIK BILLAH FAHAD</t>
  </si>
  <si>
    <t>Annual Examination Marksheet-2025</t>
  </si>
  <si>
    <t>Student’s Name</t>
  </si>
  <si>
    <t>Subject’s Name</t>
  </si>
  <si>
    <t>3rd Tutorial
Exam (30)</t>
  </si>
  <si>
    <t>3rd Semester
Exam (70)</t>
  </si>
  <si>
    <t>Total
 Marks</t>
  </si>
  <si>
    <t>Grade
 Letter</t>
  </si>
  <si>
    <t>Grade
 Point</t>
  </si>
  <si>
    <t>G.P.A</t>
  </si>
  <si>
    <t>English</t>
  </si>
  <si>
    <t>Mathematics</t>
  </si>
  <si>
    <t>Science</t>
  </si>
  <si>
    <t>Annual Examination Results-2025</t>
  </si>
  <si>
    <t xml:space="preserve">Class: Six </t>
  </si>
  <si>
    <t>Bangla-1</t>
  </si>
  <si>
    <t>Bangla-2</t>
  </si>
  <si>
    <t>English -1</t>
  </si>
  <si>
    <t>English -2</t>
  </si>
  <si>
    <t>Agri.</t>
  </si>
  <si>
    <t>ICT</t>
  </si>
  <si>
    <t>RIYA MONI</t>
  </si>
  <si>
    <t>JENIYA AKTER</t>
  </si>
  <si>
    <t>FATEMA AKTER</t>
  </si>
  <si>
    <t>USAMA</t>
  </si>
  <si>
    <t>SHAHABIR</t>
  </si>
  <si>
    <t>MIM AKTER SHATHI</t>
  </si>
  <si>
    <t>ETI PRIYA</t>
  </si>
  <si>
    <t>English-1</t>
  </si>
  <si>
    <t>English-2</t>
  </si>
  <si>
    <t>Class: Six</t>
  </si>
  <si>
    <t>Class: Seven</t>
  </si>
  <si>
    <t>RAFIYA AKTER</t>
  </si>
  <si>
    <t>MASUMA AKTER</t>
  </si>
  <si>
    <t>SUMAYIA AKTER</t>
  </si>
  <si>
    <t>JANNAT AKTER</t>
  </si>
  <si>
    <t>SUMONA AKTER</t>
  </si>
  <si>
    <t>SHOWRIN SHABA</t>
  </si>
  <si>
    <t>Agriclutre</t>
  </si>
  <si>
    <t>Class: Eight</t>
  </si>
  <si>
    <t>TANVIN ISLAM</t>
  </si>
  <si>
    <t>RAJU ISLAM</t>
  </si>
  <si>
    <t>MAINUL ISLAM</t>
  </si>
  <si>
    <t>MIM AKTER</t>
  </si>
  <si>
    <t>ALIF HOSSAIN</t>
  </si>
  <si>
    <t>SIAM AHAMED</t>
  </si>
  <si>
    <t>SUMIYA AKTER</t>
  </si>
  <si>
    <t>SAMIHA AKTER</t>
  </si>
  <si>
    <t>TASMIYA AKTER</t>
  </si>
  <si>
    <t>SHKIL</t>
  </si>
  <si>
    <t>RAKIB HASAN</t>
  </si>
  <si>
    <t>SOUROV ISLAM</t>
  </si>
  <si>
    <t xml:space="preserve">Class: Eight </t>
  </si>
  <si>
    <t>Class: Nine</t>
  </si>
  <si>
    <t>Phy.</t>
  </si>
  <si>
    <t>Che.</t>
  </si>
  <si>
    <t>Bio.</t>
  </si>
  <si>
    <t>MONIKA SHIL</t>
  </si>
  <si>
    <t>OISHI AKTER</t>
  </si>
  <si>
    <t>JAMELA AKTER</t>
  </si>
  <si>
    <t>NUPUR AKTER</t>
  </si>
  <si>
    <t>Physics</t>
  </si>
  <si>
    <t>Biology</t>
  </si>
  <si>
    <t>Chemistry</t>
  </si>
  <si>
    <t xml:space="preserve">Class: Nine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</si>
</sst>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theme="1"/>
      <name val="Times New Roman"/>
    </font>
    <font/>
    <font>
      <b/>
      <sz val="14.0"/>
      <color theme="1"/>
      <name val="Times New Roman"/>
    </font>
    <font>
      <b/>
      <sz val="12.0"/>
      <color theme="1"/>
      <name val="Times New Roman"/>
    </font>
    <font>
      <b/>
      <color theme="1"/>
      <name val="Times New Roman"/>
    </font>
    <font>
      <color theme="1"/>
      <name val="Times New Roman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3" fontId="3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4" fontId="4" numFmtId="0" xfId="0" applyAlignment="1" applyBorder="1" applyFill="1" applyFont="1">
      <alignment horizontal="center" vertical="center"/>
    </xf>
    <xf borderId="9" fillId="4" fontId="4" numFmtId="0" xfId="0" applyAlignment="1" applyBorder="1" applyFont="1">
      <alignment horizontal="center" readingOrder="0" vertical="center"/>
    </xf>
    <xf borderId="6" fillId="4" fontId="4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5" fontId="5" numFmtId="0" xfId="0" applyAlignment="1" applyBorder="1" applyFill="1" applyFont="1">
      <alignment horizontal="center" vertical="center"/>
    </xf>
    <xf borderId="11" fillId="5" fontId="5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left" readingOrder="0" vertical="center"/>
    </xf>
    <xf borderId="1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  <xf borderId="12" fillId="4" fontId="4" numFmtId="0" xfId="0" applyAlignment="1" applyBorder="1" applyFont="1">
      <alignment horizontal="center" vertical="center"/>
    </xf>
    <xf borderId="12" fillId="4" fontId="4" numFmtId="0" xfId="0" applyAlignment="1" applyBorder="1" applyFont="1">
      <alignment horizontal="center" readingOrder="0" vertical="center"/>
    </xf>
    <xf borderId="13" fillId="4" fontId="4" numFmtId="0" xfId="0" applyAlignment="1" applyBorder="1" applyFon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0" fillId="0" fontId="7" numFmtId="0" xfId="0" applyAlignment="1" applyFont="1">
      <alignment horizontal="right" vertical="bottom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left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6" fontId="5" numFmtId="0" xfId="0" applyAlignment="1" applyFill="1" applyFont="1">
      <alignment horizontal="center" readingOrder="0" vertical="center"/>
    </xf>
    <xf borderId="11" fillId="6" fontId="5" numFmtId="0" xfId="0" applyAlignment="1" applyBorder="1" applyFont="1">
      <alignment horizontal="center" vertical="center"/>
    </xf>
    <xf borderId="13" fillId="6" fontId="5" numFmtId="0" xfId="0" applyAlignment="1" applyBorder="1" applyFont="1">
      <alignment horizontal="left" vertical="center"/>
    </xf>
    <xf borderId="0" fillId="0" fontId="8" numFmtId="0" xfId="0" applyAlignment="1" applyFont="1">
      <alignment vertical="center"/>
    </xf>
    <xf borderId="0" fillId="4" fontId="5" numFmtId="0" xfId="0" applyAlignment="1" applyFont="1">
      <alignment horizontal="center" readingOrder="0" vertical="center"/>
    </xf>
    <xf borderId="11" fillId="4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/>
    </xf>
    <xf borderId="12" fillId="0" fontId="5" numFmtId="4" xfId="0" applyAlignment="1" applyBorder="1" applyFont="1" applyNumberFormat="1">
      <alignment horizontal="center" vertical="center"/>
    </xf>
    <xf borderId="9" fillId="0" fontId="2" numFmtId="0" xfId="0" applyBorder="1" applyFont="1"/>
    <xf borderId="13" fillId="6" fontId="5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13" fillId="2" fontId="3" numFmtId="0" xfId="0" applyAlignment="1" applyBorder="1" applyFont="1">
      <alignment horizontal="center" readingOrder="0" vertical="center"/>
    </xf>
    <xf borderId="13" fillId="3" fontId="3" numFmtId="0" xfId="0" applyAlignment="1" applyBorder="1" applyFont="1">
      <alignment horizontal="center" readingOrder="0" vertical="center"/>
    </xf>
    <xf borderId="11" fillId="0" fontId="6" numFmtId="4" xfId="0" applyAlignment="1" applyBorder="1" applyFont="1" applyNumberFormat="1">
      <alignment horizontal="center" readingOrder="0" vertical="center"/>
    </xf>
    <xf borderId="5" fillId="4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 readingOrder="0"/>
    </xf>
    <xf borderId="11" fillId="0" fontId="6" numFmtId="0" xfId="0" applyAlignment="1" applyBorder="1" applyFont="1">
      <alignment horizontal="left" readingOrder="0"/>
    </xf>
    <xf borderId="11" fillId="0" fontId="6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/>
    </xf>
    <xf borderId="0" fillId="0" fontId="6" numFmtId="0" xfId="0" applyAlignment="1" applyFont="1">
      <alignment horizontal="left" readingOrder="0" vertical="center"/>
    </xf>
    <xf borderId="11" fillId="0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75"/>
    <col customWidth="1" min="2" max="2" width="23.25"/>
    <col customWidth="1" min="3" max="3" width="7.88"/>
    <col customWidth="1" min="4" max="4" width="8.13"/>
    <col customWidth="1" min="5" max="5" width="6.88"/>
    <col customWidth="1" min="6" max="6" width="7.75"/>
    <col customWidth="1" min="7" max="7" width="5.25"/>
    <col customWidth="1" min="8" max="8" width="7.75"/>
    <col customWidth="1" min="9" max="9" width="6.5"/>
    <col customWidth="1" min="10" max="10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J2" s="5"/>
    </row>
    <row r="3">
      <c r="A3" s="6" t="s">
        <v>2</v>
      </c>
      <c r="B3" s="7"/>
      <c r="C3" s="7"/>
      <c r="D3" s="7"/>
      <c r="E3" s="7"/>
      <c r="F3" s="7"/>
      <c r="G3" s="7"/>
      <c r="H3" s="7"/>
      <c r="I3" s="7"/>
      <c r="J3" s="8"/>
    </row>
    <row r="4">
      <c r="A4" s="9" t="s">
        <v>3</v>
      </c>
      <c r="B4" s="10" t="s">
        <v>4</v>
      </c>
      <c r="C4" s="11" t="s">
        <v>5</v>
      </c>
      <c r="D4" s="7"/>
      <c r="E4" s="7"/>
      <c r="F4" s="7"/>
      <c r="G4" s="7"/>
      <c r="H4" s="7"/>
      <c r="I4" s="7"/>
      <c r="J4" s="8"/>
    </row>
    <row r="5">
      <c r="A5" s="12"/>
      <c r="B5" s="12"/>
      <c r="C5" s="13" t="s">
        <v>6</v>
      </c>
      <c r="D5" s="13" t="s">
        <v>7</v>
      </c>
      <c r="E5" s="14" t="s">
        <v>8</v>
      </c>
      <c r="F5" s="13" t="s">
        <v>9</v>
      </c>
      <c r="G5" s="14" t="s">
        <v>10</v>
      </c>
      <c r="H5" s="14" t="s">
        <v>11</v>
      </c>
      <c r="I5" s="14" t="s">
        <v>12</v>
      </c>
      <c r="J5" s="14" t="s">
        <v>13</v>
      </c>
    </row>
    <row r="6">
      <c r="A6" s="15">
        <v>1.0</v>
      </c>
      <c r="B6" s="16" t="s">
        <v>14</v>
      </c>
      <c r="C6" s="15">
        <v>30.0</v>
      </c>
      <c r="D6" s="15">
        <v>30.0</v>
      </c>
      <c r="E6" s="15">
        <v>21.0</v>
      </c>
      <c r="F6" s="15">
        <v>30.0</v>
      </c>
      <c r="G6" s="15">
        <v>30.0</v>
      </c>
      <c r="H6" s="15">
        <v>30.0</v>
      </c>
      <c r="I6" s="15">
        <f t="shared" ref="I6:I21" si="1">SUM(C6:H6)</f>
        <v>171</v>
      </c>
      <c r="J6" s="15">
        <f t="shared" ref="J6:J21" si="2">RANK(I6,$I$6:$I$21)</f>
        <v>2</v>
      </c>
    </row>
    <row r="7">
      <c r="A7" s="15">
        <v>2.0</v>
      </c>
      <c r="B7" s="16" t="s">
        <v>15</v>
      </c>
      <c r="C7" s="15">
        <v>30.0</v>
      </c>
      <c r="D7" s="15">
        <v>30.0</v>
      </c>
      <c r="E7" s="15">
        <v>20.0</v>
      </c>
      <c r="F7" s="15">
        <v>30.0</v>
      </c>
      <c r="G7" s="15">
        <v>30.0</v>
      </c>
      <c r="H7" s="15">
        <v>30.0</v>
      </c>
      <c r="I7" s="17">
        <f t="shared" si="1"/>
        <v>170</v>
      </c>
      <c r="J7" s="15">
        <f t="shared" si="2"/>
        <v>3</v>
      </c>
    </row>
    <row r="8">
      <c r="A8" s="15">
        <v>3.0</v>
      </c>
      <c r="B8" s="16" t="s">
        <v>16</v>
      </c>
      <c r="C8" s="15">
        <v>29.0</v>
      </c>
      <c r="D8" s="15">
        <v>30.0</v>
      </c>
      <c r="E8" s="15">
        <v>20.0</v>
      </c>
      <c r="F8" s="15">
        <v>28.0</v>
      </c>
      <c r="G8" s="15">
        <v>30.0</v>
      </c>
      <c r="H8" s="15">
        <v>30.0</v>
      </c>
      <c r="I8" s="17">
        <f t="shared" si="1"/>
        <v>167</v>
      </c>
      <c r="J8" s="15">
        <f t="shared" si="2"/>
        <v>6</v>
      </c>
    </row>
    <row r="9">
      <c r="A9" s="15">
        <v>4.0</v>
      </c>
      <c r="B9" s="16" t="s">
        <v>17</v>
      </c>
      <c r="C9" s="15">
        <v>30.0</v>
      </c>
      <c r="D9" s="15">
        <v>30.0</v>
      </c>
      <c r="E9" s="15">
        <v>25.0</v>
      </c>
      <c r="F9" s="15">
        <v>30.0</v>
      </c>
      <c r="G9" s="15">
        <v>30.0</v>
      </c>
      <c r="H9" s="15">
        <v>30.0</v>
      </c>
      <c r="I9" s="17">
        <f t="shared" si="1"/>
        <v>175</v>
      </c>
      <c r="J9" s="15">
        <f t="shared" si="2"/>
        <v>1</v>
      </c>
    </row>
    <row r="10">
      <c r="A10" s="15">
        <v>5.0</v>
      </c>
      <c r="B10" s="16" t="s">
        <v>18</v>
      </c>
      <c r="C10" s="15">
        <v>30.0</v>
      </c>
      <c r="D10" s="15">
        <v>28.0</v>
      </c>
      <c r="E10" s="15">
        <v>20.0</v>
      </c>
      <c r="F10" s="15">
        <v>30.0</v>
      </c>
      <c r="G10" s="15">
        <v>30.0</v>
      </c>
      <c r="H10" s="15">
        <v>30.0</v>
      </c>
      <c r="I10" s="17">
        <f t="shared" si="1"/>
        <v>168</v>
      </c>
      <c r="J10" s="15">
        <f t="shared" si="2"/>
        <v>5</v>
      </c>
    </row>
    <row r="11">
      <c r="A11" s="15">
        <v>6.0</v>
      </c>
      <c r="B11" s="16" t="s">
        <v>19</v>
      </c>
      <c r="C11" s="15">
        <v>30.0</v>
      </c>
      <c r="D11" s="15">
        <v>28.0</v>
      </c>
      <c r="E11" s="15">
        <v>15.0</v>
      </c>
      <c r="F11" s="15">
        <v>30.0</v>
      </c>
      <c r="G11" s="15">
        <v>27.0</v>
      </c>
      <c r="H11" s="15">
        <v>30.0</v>
      </c>
      <c r="I11" s="17">
        <f t="shared" si="1"/>
        <v>160</v>
      </c>
      <c r="J11" s="15">
        <f t="shared" si="2"/>
        <v>9</v>
      </c>
    </row>
    <row r="12">
      <c r="A12" s="15">
        <v>7.0</v>
      </c>
      <c r="B12" s="16" t="s">
        <v>20</v>
      </c>
      <c r="C12" s="15">
        <v>30.0</v>
      </c>
      <c r="D12" s="15">
        <v>26.0</v>
      </c>
      <c r="E12" s="15">
        <v>10.0</v>
      </c>
      <c r="F12" s="15">
        <v>30.0</v>
      </c>
      <c r="G12" s="15">
        <v>27.0</v>
      </c>
      <c r="H12" s="15">
        <v>30.0</v>
      </c>
      <c r="I12" s="17">
        <f t="shared" si="1"/>
        <v>153</v>
      </c>
      <c r="J12" s="15">
        <f t="shared" si="2"/>
        <v>10</v>
      </c>
    </row>
    <row r="13">
      <c r="A13" s="15">
        <v>8.0</v>
      </c>
      <c r="B13" s="16" t="s">
        <v>21</v>
      </c>
      <c r="C13" s="15">
        <v>30.0</v>
      </c>
      <c r="D13" s="15">
        <v>28.0</v>
      </c>
      <c r="E13" s="15">
        <v>20.0</v>
      </c>
      <c r="F13" s="15">
        <v>30.0</v>
      </c>
      <c r="G13" s="15">
        <v>25.0</v>
      </c>
      <c r="H13" s="15">
        <v>30.0</v>
      </c>
      <c r="I13" s="17">
        <f t="shared" si="1"/>
        <v>163</v>
      </c>
      <c r="J13" s="15">
        <f t="shared" si="2"/>
        <v>8</v>
      </c>
    </row>
    <row r="14">
      <c r="A14" s="15">
        <v>9.0</v>
      </c>
      <c r="B14" s="16" t="s">
        <v>22</v>
      </c>
      <c r="C14" s="15">
        <v>30.0</v>
      </c>
      <c r="D14" s="15">
        <v>28.0</v>
      </c>
      <c r="E14" s="15">
        <v>26.0</v>
      </c>
      <c r="F14" s="15">
        <v>30.0</v>
      </c>
      <c r="G14" s="15">
        <v>26.0</v>
      </c>
      <c r="H14" s="15">
        <v>30.0</v>
      </c>
      <c r="I14" s="17">
        <f t="shared" si="1"/>
        <v>170</v>
      </c>
      <c r="J14" s="15">
        <f t="shared" si="2"/>
        <v>3</v>
      </c>
    </row>
    <row r="15">
      <c r="A15" s="15">
        <v>10.0</v>
      </c>
      <c r="B15" s="16" t="s">
        <v>23</v>
      </c>
      <c r="C15" s="15">
        <v>10.0</v>
      </c>
      <c r="D15" s="15">
        <v>20.0</v>
      </c>
      <c r="E15" s="15">
        <v>15.0</v>
      </c>
      <c r="F15" s="15">
        <v>10.0</v>
      </c>
      <c r="G15" s="15">
        <v>24.0</v>
      </c>
      <c r="H15" s="15">
        <v>30.0</v>
      </c>
      <c r="I15" s="17">
        <f t="shared" si="1"/>
        <v>109</v>
      </c>
      <c r="J15" s="15">
        <f t="shared" si="2"/>
        <v>16</v>
      </c>
    </row>
    <row r="16">
      <c r="A16" s="15">
        <v>11.0</v>
      </c>
      <c r="B16" s="16" t="s">
        <v>24</v>
      </c>
      <c r="C16" s="15">
        <v>30.0</v>
      </c>
      <c r="D16" s="15">
        <v>24.0</v>
      </c>
      <c r="E16" s="15">
        <v>10.0</v>
      </c>
      <c r="F16" s="15">
        <v>30.0</v>
      </c>
      <c r="G16" s="15">
        <v>25.0</v>
      </c>
      <c r="H16" s="15">
        <v>30.0</v>
      </c>
      <c r="I16" s="17">
        <f t="shared" si="1"/>
        <v>149</v>
      </c>
      <c r="J16" s="15">
        <f t="shared" si="2"/>
        <v>11</v>
      </c>
    </row>
    <row r="17">
      <c r="A17" s="15">
        <v>12.0</v>
      </c>
      <c r="B17" s="16" t="s">
        <v>25</v>
      </c>
      <c r="C17" s="15">
        <v>22.0</v>
      </c>
      <c r="D17" s="15">
        <v>26.0</v>
      </c>
      <c r="E17" s="15">
        <v>11.0</v>
      </c>
      <c r="F17" s="15">
        <v>22.0</v>
      </c>
      <c r="G17" s="15">
        <v>25.0</v>
      </c>
      <c r="H17" s="15">
        <v>30.0</v>
      </c>
      <c r="I17" s="17">
        <f t="shared" si="1"/>
        <v>136</v>
      </c>
      <c r="J17" s="15">
        <f t="shared" si="2"/>
        <v>13</v>
      </c>
    </row>
    <row r="18">
      <c r="A18" s="15">
        <v>13.0</v>
      </c>
      <c r="B18" s="16" t="s">
        <v>26</v>
      </c>
      <c r="C18" s="15">
        <v>30.0</v>
      </c>
      <c r="D18" s="15">
        <v>18.0</v>
      </c>
      <c r="E18" s="15">
        <v>20.0</v>
      </c>
      <c r="F18" s="15">
        <v>28.0</v>
      </c>
      <c r="G18" s="15">
        <v>22.0</v>
      </c>
      <c r="H18" s="15">
        <v>30.0</v>
      </c>
      <c r="I18" s="17">
        <f t="shared" si="1"/>
        <v>148</v>
      </c>
      <c r="J18" s="15">
        <f t="shared" si="2"/>
        <v>12</v>
      </c>
    </row>
    <row r="19">
      <c r="A19" s="15">
        <v>14.0</v>
      </c>
      <c r="B19" s="16" t="s">
        <v>27</v>
      </c>
      <c r="C19" s="15">
        <v>30.0</v>
      </c>
      <c r="D19" s="15">
        <v>30.0</v>
      </c>
      <c r="E19" s="15">
        <v>20.0</v>
      </c>
      <c r="F19" s="15">
        <v>30.0</v>
      </c>
      <c r="G19" s="15">
        <v>27.0</v>
      </c>
      <c r="H19" s="15">
        <v>30.0</v>
      </c>
      <c r="I19" s="17">
        <f t="shared" si="1"/>
        <v>167</v>
      </c>
      <c r="J19" s="15">
        <f t="shared" si="2"/>
        <v>6</v>
      </c>
    </row>
    <row r="20">
      <c r="A20" s="15">
        <v>15.0</v>
      </c>
      <c r="B20" s="16" t="s">
        <v>28</v>
      </c>
      <c r="C20" s="15">
        <v>24.0</v>
      </c>
      <c r="D20" s="15">
        <v>12.0</v>
      </c>
      <c r="E20" s="15">
        <v>15.0</v>
      </c>
      <c r="F20" s="18">
        <v>14.0</v>
      </c>
      <c r="G20" s="15">
        <v>20.0</v>
      </c>
      <c r="H20" s="15">
        <v>25.0</v>
      </c>
      <c r="I20" s="17">
        <f t="shared" si="1"/>
        <v>110</v>
      </c>
      <c r="J20" s="15">
        <f t="shared" si="2"/>
        <v>15</v>
      </c>
    </row>
    <row r="21">
      <c r="A21" s="15">
        <v>16.0</v>
      </c>
      <c r="B21" s="16" t="s">
        <v>29</v>
      </c>
      <c r="C21" s="15">
        <v>27.0</v>
      </c>
      <c r="D21" s="15">
        <v>20.0</v>
      </c>
      <c r="E21" s="15">
        <v>10.0</v>
      </c>
      <c r="F21" s="15">
        <v>20.0</v>
      </c>
      <c r="G21" s="15">
        <v>20.0</v>
      </c>
      <c r="H21" s="15">
        <v>25.0</v>
      </c>
      <c r="I21" s="17">
        <f t="shared" si="1"/>
        <v>122</v>
      </c>
      <c r="J21" s="15">
        <f t="shared" si="2"/>
        <v>14</v>
      </c>
    </row>
  </sheetData>
  <mergeCells count="6">
    <mergeCell ref="A1:J1"/>
    <mergeCell ref="A2:J2"/>
    <mergeCell ref="A3:J3"/>
    <mergeCell ref="A4:A5"/>
    <mergeCell ref="B4:B5"/>
    <mergeCell ref="C4:J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75"/>
    <col customWidth="1" min="2" max="2" width="22.63"/>
    <col customWidth="1" min="3" max="3" width="7.25"/>
    <col customWidth="1" min="4" max="4" width="7.63"/>
    <col customWidth="1" min="5" max="5" width="6.25"/>
    <col customWidth="1" min="6" max="6" width="7.88"/>
    <col customWidth="1" min="7" max="7" width="6.13"/>
    <col customWidth="1" min="8" max="8" width="7.5"/>
    <col customWidth="1" min="9" max="10" width="6.13"/>
    <col customWidth="1" min="11" max="28" width="14.38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ht="15.75" customHeight="1">
      <c r="A2" s="4" t="s">
        <v>30</v>
      </c>
      <c r="J2" s="5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ht="15.75" customHeight="1">
      <c r="A3" s="6" t="s">
        <v>2</v>
      </c>
      <c r="B3" s="7"/>
      <c r="C3" s="7"/>
      <c r="D3" s="7"/>
      <c r="E3" s="7"/>
      <c r="F3" s="7"/>
      <c r="G3" s="7"/>
      <c r="H3" s="7"/>
      <c r="I3" s="7"/>
      <c r="J3" s="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ht="15.75" customHeight="1">
      <c r="A4" s="20" t="s">
        <v>3</v>
      </c>
      <c r="B4" s="21" t="s">
        <v>4</v>
      </c>
      <c r="C4" s="22" t="s">
        <v>5</v>
      </c>
      <c r="D4" s="23"/>
      <c r="E4" s="23"/>
      <c r="F4" s="23"/>
      <c r="G4" s="23"/>
      <c r="H4" s="23"/>
      <c r="I4" s="23"/>
      <c r="J4" s="24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ht="15.75" customHeight="1">
      <c r="A5" s="12"/>
      <c r="B5" s="12"/>
      <c r="C5" s="13" t="s">
        <v>6</v>
      </c>
      <c r="D5" s="13" t="s">
        <v>7</v>
      </c>
      <c r="E5" s="14" t="s">
        <v>8</v>
      </c>
      <c r="F5" s="13" t="s">
        <v>9</v>
      </c>
      <c r="G5" s="14" t="s">
        <v>10</v>
      </c>
      <c r="H5" s="14" t="s">
        <v>11</v>
      </c>
      <c r="I5" s="14" t="s">
        <v>12</v>
      </c>
      <c r="J5" s="14" t="s">
        <v>13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ht="15.75" customHeight="1">
      <c r="A6" s="15">
        <v>1.0</v>
      </c>
      <c r="B6" s="16" t="s">
        <v>14</v>
      </c>
      <c r="C6" s="15">
        <v>69.0</v>
      </c>
      <c r="D6" s="15">
        <v>70.0</v>
      </c>
      <c r="E6" s="15">
        <v>61.0</v>
      </c>
      <c r="F6" s="15">
        <v>65.0</v>
      </c>
      <c r="G6" s="15">
        <v>65.0</v>
      </c>
      <c r="H6" s="15">
        <v>70.0</v>
      </c>
      <c r="I6" s="15">
        <f t="shared" ref="I6:I21" si="1">SUM(C6:H6)</f>
        <v>400</v>
      </c>
      <c r="J6" s="15">
        <f t="shared" ref="J6:J21" si="2">RANK(I6,$I$6:$I$21)</f>
        <v>1</v>
      </c>
      <c r="K6" s="19"/>
      <c r="L6" s="25">
        <v>171.0</v>
      </c>
      <c r="M6" s="26">
        <v>400.0</v>
      </c>
      <c r="N6" s="19">
        <f t="shared" ref="N6:N10" si="3">SUM(L6:M6)</f>
        <v>571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ht="15.75" customHeight="1">
      <c r="A7" s="15">
        <v>2.0</v>
      </c>
      <c r="B7" s="16" t="s">
        <v>15</v>
      </c>
      <c r="C7" s="15">
        <v>66.0</v>
      </c>
      <c r="D7" s="15">
        <v>70.0</v>
      </c>
      <c r="E7" s="15">
        <v>61.0</v>
      </c>
      <c r="F7" s="15">
        <v>66.0</v>
      </c>
      <c r="G7" s="15">
        <v>65.0</v>
      </c>
      <c r="H7" s="15">
        <v>70.0</v>
      </c>
      <c r="I7" s="17">
        <f t="shared" si="1"/>
        <v>398</v>
      </c>
      <c r="J7" s="15">
        <f t="shared" si="2"/>
        <v>2</v>
      </c>
      <c r="K7" s="19"/>
      <c r="L7" s="25">
        <v>170.0</v>
      </c>
      <c r="M7" s="26">
        <v>398.0</v>
      </c>
      <c r="N7" s="19">
        <f t="shared" si="3"/>
        <v>568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ht="15.75" customHeight="1">
      <c r="A8" s="15">
        <v>3.0</v>
      </c>
      <c r="B8" s="16" t="s">
        <v>16</v>
      </c>
      <c r="C8" s="15">
        <v>64.0</v>
      </c>
      <c r="D8" s="15">
        <v>50.0</v>
      </c>
      <c r="E8" s="15">
        <v>60.0</v>
      </c>
      <c r="F8" s="15">
        <v>59.0</v>
      </c>
      <c r="G8" s="15">
        <v>60.0</v>
      </c>
      <c r="H8" s="15">
        <v>69.0</v>
      </c>
      <c r="I8" s="17">
        <f t="shared" si="1"/>
        <v>362</v>
      </c>
      <c r="J8" s="15">
        <f t="shared" si="2"/>
        <v>5</v>
      </c>
      <c r="K8" s="19"/>
      <c r="L8" s="25">
        <v>167.0</v>
      </c>
      <c r="M8" s="26">
        <v>362.0</v>
      </c>
      <c r="N8" s="19">
        <f t="shared" si="3"/>
        <v>529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ht="15.75" customHeight="1">
      <c r="A9" s="15">
        <v>4.0</v>
      </c>
      <c r="B9" s="16" t="s">
        <v>17</v>
      </c>
      <c r="C9" s="15">
        <v>69.0</v>
      </c>
      <c r="D9" s="15">
        <v>60.0</v>
      </c>
      <c r="E9" s="15">
        <v>62.0</v>
      </c>
      <c r="F9" s="15">
        <v>67.0</v>
      </c>
      <c r="G9" s="15">
        <v>64.0</v>
      </c>
      <c r="H9" s="15">
        <v>67.0</v>
      </c>
      <c r="I9" s="17">
        <f t="shared" si="1"/>
        <v>389</v>
      </c>
      <c r="J9" s="15">
        <f t="shared" si="2"/>
        <v>3</v>
      </c>
      <c r="K9" s="19"/>
      <c r="L9" s="25">
        <v>175.0</v>
      </c>
      <c r="M9" s="26">
        <v>389.0</v>
      </c>
      <c r="N9" s="19">
        <f t="shared" si="3"/>
        <v>564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ht="15.75" customHeight="1">
      <c r="A10" s="15">
        <v>5.0</v>
      </c>
      <c r="B10" s="16" t="s">
        <v>18</v>
      </c>
      <c r="C10" s="15">
        <v>63.0</v>
      </c>
      <c r="D10" s="15">
        <v>65.0</v>
      </c>
      <c r="E10" s="15">
        <v>62.0</v>
      </c>
      <c r="F10" s="15">
        <v>67.0</v>
      </c>
      <c r="G10" s="15">
        <v>58.0</v>
      </c>
      <c r="H10" s="15">
        <v>70.0</v>
      </c>
      <c r="I10" s="17">
        <f t="shared" si="1"/>
        <v>385</v>
      </c>
      <c r="J10" s="15">
        <f t="shared" si="2"/>
        <v>4</v>
      </c>
      <c r="K10" s="19"/>
      <c r="L10" s="25">
        <v>168.0</v>
      </c>
      <c r="M10" s="26">
        <v>385.0</v>
      </c>
      <c r="N10" s="19">
        <f t="shared" si="3"/>
        <v>553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ht="15.75" customHeight="1">
      <c r="A11" s="15">
        <v>6.0</v>
      </c>
      <c r="B11" s="16" t="s">
        <v>19</v>
      </c>
      <c r="C11" s="15">
        <v>54.0</v>
      </c>
      <c r="D11" s="15">
        <v>33.0</v>
      </c>
      <c r="E11" s="15">
        <v>45.0</v>
      </c>
      <c r="F11" s="15">
        <v>47.0</v>
      </c>
      <c r="G11" s="15">
        <v>45.0</v>
      </c>
      <c r="H11" s="15">
        <v>67.0</v>
      </c>
      <c r="I11" s="17">
        <f t="shared" si="1"/>
        <v>291</v>
      </c>
      <c r="J11" s="15">
        <f t="shared" si="2"/>
        <v>7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ht="15.75" customHeight="1">
      <c r="A12" s="15">
        <v>7.0</v>
      </c>
      <c r="B12" s="16" t="s">
        <v>20</v>
      </c>
      <c r="C12" s="15">
        <v>52.0</v>
      </c>
      <c r="D12" s="15">
        <v>35.0</v>
      </c>
      <c r="E12" s="15">
        <v>33.0</v>
      </c>
      <c r="F12" s="15">
        <v>36.0</v>
      </c>
      <c r="G12" s="15">
        <v>51.0</v>
      </c>
      <c r="H12" s="15">
        <v>68.0</v>
      </c>
      <c r="I12" s="17">
        <f t="shared" si="1"/>
        <v>275</v>
      </c>
      <c r="J12" s="15">
        <f t="shared" si="2"/>
        <v>8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ht="15.75" customHeight="1">
      <c r="A13" s="15">
        <v>8.0</v>
      </c>
      <c r="B13" s="16" t="s">
        <v>21</v>
      </c>
      <c r="C13" s="15">
        <v>59.0</v>
      </c>
      <c r="D13" s="15">
        <v>25.0</v>
      </c>
      <c r="E13" s="15">
        <v>40.0</v>
      </c>
      <c r="F13" s="15">
        <v>50.0</v>
      </c>
      <c r="G13" s="15">
        <v>35.0</v>
      </c>
      <c r="H13" s="15">
        <v>45.0</v>
      </c>
      <c r="I13" s="17">
        <f t="shared" si="1"/>
        <v>254</v>
      </c>
      <c r="J13" s="15">
        <f t="shared" si="2"/>
        <v>10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ht="15.75" customHeight="1">
      <c r="A14" s="15">
        <v>9.0</v>
      </c>
      <c r="B14" s="16" t="s">
        <v>22</v>
      </c>
      <c r="C14" s="15">
        <v>61.0</v>
      </c>
      <c r="D14" s="15">
        <v>40.0</v>
      </c>
      <c r="E14" s="15">
        <v>44.0</v>
      </c>
      <c r="F14" s="15">
        <v>53.0</v>
      </c>
      <c r="G14" s="15">
        <v>50.0</v>
      </c>
      <c r="H14" s="15">
        <v>68.0</v>
      </c>
      <c r="I14" s="17">
        <f t="shared" si="1"/>
        <v>316</v>
      </c>
      <c r="J14" s="15">
        <f t="shared" si="2"/>
        <v>6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ht="15.75" customHeight="1">
      <c r="A15" s="15">
        <v>10.0</v>
      </c>
      <c r="B15" s="16" t="s">
        <v>23</v>
      </c>
      <c r="C15" s="15">
        <v>45.0</v>
      </c>
      <c r="D15" s="15">
        <v>30.0</v>
      </c>
      <c r="E15" s="15">
        <v>25.0</v>
      </c>
      <c r="F15" s="15">
        <v>25.0</v>
      </c>
      <c r="G15" s="15">
        <v>38.0</v>
      </c>
      <c r="H15" s="15">
        <v>40.0</v>
      </c>
      <c r="I15" s="17">
        <f t="shared" si="1"/>
        <v>203</v>
      </c>
      <c r="J15" s="15">
        <f t="shared" si="2"/>
        <v>14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ht="15.75" customHeight="1">
      <c r="A16" s="15">
        <v>11.0</v>
      </c>
      <c r="B16" s="16" t="s">
        <v>24</v>
      </c>
      <c r="C16" s="15">
        <v>58.0</v>
      </c>
      <c r="D16" s="15">
        <v>35.0</v>
      </c>
      <c r="E16" s="15">
        <v>40.0</v>
      </c>
      <c r="F16" s="15">
        <v>30.0</v>
      </c>
      <c r="G16" s="15">
        <v>28.0</v>
      </c>
      <c r="H16" s="15">
        <v>41.0</v>
      </c>
      <c r="I16" s="17">
        <f t="shared" si="1"/>
        <v>232</v>
      </c>
      <c r="J16" s="15">
        <f t="shared" si="2"/>
        <v>11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ht="15.75" customHeight="1">
      <c r="A17" s="15">
        <v>12.0</v>
      </c>
      <c r="B17" s="16" t="s">
        <v>25</v>
      </c>
      <c r="C17" s="15">
        <v>46.0</v>
      </c>
      <c r="D17" s="15">
        <v>25.0</v>
      </c>
      <c r="E17" s="15">
        <v>40.0</v>
      </c>
      <c r="F17" s="15">
        <v>29.0</v>
      </c>
      <c r="G17" s="15">
        <v>26.0</v>
      </c>
      <c r="H17" s="15">
        <v>62.0</v>
      </c>
      <c r="I17" s="17">
        <f t="shared" si="1"/>
        <v>228</v>
      </c>
      <c r="J17" s="15">
        <f t="shared" si="2"/>
        <v>12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ht="15.75" customHeight="1">
      <c r="A18" s="15">
        <v>13.0</v>
      </c>
      <c r="B18" s="16" t="s">
        <v>26</v>
      </c>
      <c r="C18" s="15">
        <v>49.0</v>
      </c>
      <c r="D18" s="15">
        <v>33.0</v>
      </c>
      <c r="E18" s="15">
        <v>25.0</v>
      </c>
      <c r="F18" s="15">
        <v>38.0</v>
      </c>
      <c r="G18" s="15">
        <v>25.0</v>
      </c>
      <c r="H18" s="15">
        <v>58.0</v>
      </c>
      <c r="I18" s="17">
        <f t="shared" si="1"/>
        <v>228</v>
      </c>
      <c r="J18" s="15">
        <f t="shared" si="2"/>
        <v>12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ht="15.75" customHeight="1">
      <c r="A19" s="15">
        <v>14.0</v>
      </c>
      <c r="B19" s="16" t="s">
        <v>27</v>
      </c>
      <c r="C19" s="15">
        <v>48.0</v>
      </c>
      <c r="D19" s="15">
        <v>33.0</v>
      </c>
      <c r="E19" s="15">
        <v>58.0</v>
      </c>
      <c r="F19" s="15">
        <v>51.0</v>
      </c>
      <c r="G19" s="15">
        <v>28.0</v>
      </c>
      <c r="H19" s="15">
        <v>57.0</v>
      </c>
      <c r="I19" s="17">
        <f t="shared" si="1"/>
        <v>275</v>
      </c>
      <c r="J19" s="15">
        <f t="shared" si="2"/>
        <v>8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ht="15.75" customHeight="1">
      <c r="A20" s="15">
        <v>15.0</v>
      </c>
      <c r="B20" s="16" t="s">
        <v>28</v>
      </c>
      <c r="C20" s="15">
        <v>40.0</v>
      </c>
      <c r="D20" s="15">
        <v>25.0</v>
      </c>
      <c r="E20" s="15">
        <v>25.0</v>
      </c>
      <c r="F20" s="15">
        <v>24.0</v>
      </c>
      <c r="G20" s="15">
        <v>24.0</v>
      </c>
      <c r="H20" s="15">
        <v>32.0</v>
      </c>
      <c r="I20" s="17">
        <f t="shared" si="1"/>
        <v>170</v>
      </c>
      <c r="J20" s="15">
        <f t="shared" si="2"/>
        <v>15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ht="15.75" customHeight="1">
      <c r="A21" s="15">
        <v>16.0</v>
      </c>
      <c r="B21" s="16" t="s">
        <v>29</v>
      </c>
      <c r="C21" s="15"/>
      <c r="D21" s="15"/>
      <c r="E21" s="15"/>
      <c r="F21" s="15"/>
      <c r="G21" s="15"/>
      <c r="H21" s="15"/>
      <c r="I21" s="17">
        <f t="shared" si="1"/>
        <v>0</v>
      </c>
      <c r="J21" s="15">
        <f t="shared" si="2"/>
        <v>16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ht="15.75" customHeight="1">
      <c r="A22" s="19"/>
      <c r="B22" s="27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ht="15.75" customHeight="1">
      <c r="A23" s="19"/>
      <c r="B23" s="27"/>
      <c r="C23" s="26">
        <v>400.0</v>
      </c>
      <c r="D23" s="26">
        <v>385.0</v>
      </c>
      <c r="E23" s="26">
        <v>389.0</v>
      </c>
      <c r="F23" s="26">
        <v>385.0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ht="15.75" customHeight="1">
      <c r="A24" s="19"/>
      <c r="B24" s="27"/>
      <c r="C24" s="26">
        <v>171.0</v>
      </c>
      <c r="D24" s="26">
        <v>170.0</v>
      </c>
      <c r="E24" s="26">
        <v>175.0</v>
      </c>
      <c r="F24" s="26">
        <v>168.0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ht="15.75" customHeight="1">
      <c r="A25" s="19"/>
      <c r="B25" s="27"/>
      <c r="C25" s="19">
        <f t="shared" ref="C25:F25" si="4">SUM(C23:C24)</f>
        <v>571</v>
      </c>
      <c r="D25" s="19">
        <f t="shared" si="4"/>
        <v>555</v>
      </c>
      <c r="E25" s="19">
        <f t="shared" si="4"/>
        <v>564</v>
      </c>
      <c r="F25" s="19">
        <f t="shared" si="4"/>
        <v>553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ht="15.75" customHeight="1">
      <c r="A26" s="19"/>
      <c r="B26" s="27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ht="15.75" customHeight="1">
      <c r="A27" s="19"/>
      <c r="B27" s="27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ht="15.75" customHeight="1">
      <c r="A28" s="19"/>
      <c r="B28" s="27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ht="15.75" customHeight="1">
      <c r="A29" s="19"/>
      <c r="B29" s="27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ht="15.75" customHeight="1">
      <c r="A30" s="19"/>
      <c r="B30" s="27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ht="15.75" customHeight="1">
      <c r="A31" s="19"/>
      <c r="B31" s="27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ht="15.75" customHeight="1">
      <c r="A32" s="19"/>
      <c r="B32" s="27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ht="15.75" customHeight="1">
      <c r="A33" s="19"/>
      <c r="B33" s="27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ht="15.75" customHeight="1">
      <c r="A34" s="19"/>
      <c r="B34" s="27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ht="15.75" customHeight="1">
      <c r="A35" s="19"/>
      <c r="B35" s="2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ht="15.75" customHeight="1">
      <c r="A36" s="19"/>
      <c r="B36" s="2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ht="15.75" customHeight="1">
      <c r="A37" s="19"/>
      <c r="B37" s="27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ht="15.75" customHeight="1">
      <c r="A38" s="19"/>
      <c r="B38" s="27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ht="15.75" customHeight="1">
      <c r="A39" s="19"/>
      <c r="B39" s="27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ht="15.75" customHeight="1">
      <c r="A40" s="19"/>
      <c r="B40" s="27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ht="15.75" customHeight="1">
      <c r="A41" s="19"/>
      <c r="B41" s="27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ht="15.75" customHeight="1">
      <c r="A42" s="19"/>
      <c r="B42" s="27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ht="15.75" customHeight="1">
      <c r="A43" s="19"/>
      <c r="B43" s="27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ht="15.75" customHeight="1">
      <c r="A44" s="19"/>
      <c r="B44" s="27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ht="15.75" customHeight="1">
      <c r="A45" s="19"/>
      <c r="B45" s="27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ht="15.75" customHeight="1">
      <c r="A46" s="19"/>
      <c r="B46" s="27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ht="15.75" customHeight="1">
      <c r="A47" s="19"/>
      <c r="B47" s="27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ht="15.75" customHeight="1">
      <c r="A48" s="19"/>
      <c r="B48" s="27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ht="15.75" customHeight="1">
      <c r="A49" s="19"/>
      <c r="B49" s="27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ht="15.75" customHeight="1">
      <c r="A50" s="19"/>
      <c r="B50" s="27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ht="15.75" customHeight="1">
      <c r="A51" s="19"/>
      <c r="B51" s="27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ht="15.75" customHeight="1">
      <c r="A52" s="19"/>
      <c r="B52" s="27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ht="15.75" customHeight="1">
      <c r="A53" s="19"/>
      <c r="B53" s="27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ht="15.75" customHeight="1">
      <c r="A54" s="19"/>
      <c r="B54" s="27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ht="15.75" customHeight="1">
      <c r="A55" s="19"/>
      <c r="B55" s="27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ht="15.75" customHeight="1">
      <c r="A56" s="19"/>
      <c r="B56" s="27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ht="15.75" customHeight="1">
      <c r="A57" s="19"/>
      <c r="B57" s="27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ht="15.75" customHeight="1">
      <c r="A58" s="19"/>
      <c r="B58" s="27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ht="15.75" customHeight="1">
      <c r="A59" s="19"/>
      <c r="B59" s="27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ht="15.75" customHeight="1">
      <c r="A60" s="19"/>
      <c r="B60" s="27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ht="15.75" customHeight="1">
      <c r="A61" s="19"/>
      <c r="B61" s="27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ht="15.75" customHeight="1">
      <c r="A62" s="19"/>
      <c r="B62" s="27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ht="15.75" customHeight="1">
      <c r="A63" s="19"/>
      <c r="B63" s="27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ht="15.75" customHeight="1">
      <c r="A64" s="19"/>
      <c r="B64" s="27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ht="15.75" customHeight="1">
      <c r="A65" s="19"/>
      <c r="B65" s="27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ht="15.75" customHeight="1">
      <c r="A66" s="19"/>
      <c r="B66" s="27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ht="15.75" customHeight="1">
      <c r="A67" s="19"/>
      <c r="B67" s="27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ht="15.75" customHeight="1">
      <c r="A68" s="19"/>
      <c r="B68" s="27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ht="15.75" customHeight="1">
      <c r="A69" s="19"/>
      <c r="B69" s="27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ht="15.75" customHeight="1">
      <c r="A70" s="19"/>
      <c r="B70" s="27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ht="15.75" customHeight="1">
      <c r="A71" s="19"/>
      <c r="B71" s="27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ht="15.75" customHeight="1">
      <c r="A72" s="19"/>
      <c r="B72" s="27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ht="15.75" customHeight="1">
      <c r="A73" s="19"/>
      <c r="B73" s="27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ht="15.75" customHeight="1">
      <c r="A74" s="19"/>
      <c r="B74" s="27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ht="15.75" customHeight="1">
      <c r="A75" s="19"/>
      <c r="B75" s="27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ht="15.75" customHeight="1">
      <c r="A76" s="19"/>
      <c r="B76" s="27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ht="15.75" customHeight="1">
      <c r="A77" s="19"/>
      <c r="B77" s="27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ht="15.75" customHeight="1">
      <c r="A78" s="19"/>
      <c r="B78" s="27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ht="15.75" customHeight="1">
      <c r="A79" s="19"/>
      <c r="B79" s="27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ht="15.75" customHeight="1">
      <c r="A80" s="19"/>
      <c r="B80" s="27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ht="15.75" customHeight="1">
      <c r="A81" s="19"/>
      <c r="B81" s="27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ht="15.75" customHeight="1">
      <c r="A82" s="19"/>
      <c r="B82" s="27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ht="15.75" customHeight="1">
      <c r="A83" s="19"/>
      <c r="B83" s="27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ht="15.75" customHeight="1">
      <c r="A84" s="19"/>
      <c r="B84" s="27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ht="15.75" customHeight="1">
      <c r="A85" s="19"/>
      <c r="B85" s="27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ht="15.75" customHeight="1">
      <c r="A86" s="19"/>
      <c r="B86" s="27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ht="15.75" customHeight="1">
      <c r="A87" s="19"/>
      <c r="B87" s="27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ht="15.75" customHeight="1">
      <c r="A88" s="19"/>
      <c r="B88" s="27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ht="15.75" customHeight="1">
      <c r="A89" s="19"/>
      <c r="B89" s="27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ht="15.75" customHeight="1">
      <c r="A90" s="19"/>
      <c r="B90" s="27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ht="15.75" customHeight="1">
      <c r="A91" s="19"/>
      <c r="B91" s="27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ht="15.75" customHeight="1">
      <c r="A92" s="19"/>
      <c r="B92" s="27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ht="15.75" customHeight="1">
      <c r="A93" s="19"/>
      <c r="B93" s="27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ht="15.75" customHeight="1">
      <c r="A94" s="19"/>
      <c r="B94" s="27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ht="15.75" customHeight="1">
      <c r="A95" s="19"/>
      <c r="B95" s="27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ht="15.75" customHeight="1">
      <c r="A96" s="19"/>
      <c r="B96" s="27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ht="15.75" customHeight="1">
      <c r="A97" s="19"/>
      <c r="B97" s="27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ht="15.75" customHeight="1">
      <c r="A98" s="19"/>
      <c r="B98" s="27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ht="15.75" customHeight="1">
      <c r="A99" s="19"/>
      <c r="B99" s="27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ht="15.75" customHeight="1">
      <c r="A100" s="19"/>
      <c r="B100" s="27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ht="15.75" customHeight="1">
      <c r="A101" s="19"/>
      <c r="B101" s="27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ht="15.75" customHeight="1">
      <c r="A102" s="19"/>
      <c r="B102" s="27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ht="15.75" customHeight="1">
      <c r="A103" s="19"/>
      <c r="B103" s="27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ht="15.75" customHeight="1">
      <c r="A104" s="19"/>
      <c r="B104" s="27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ht="15.75" customHeight="1">
      <c r="A105" s="19"/>
      <c r="B105" s="27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ht="15.75" customHeight="1">
      <c r="A106" s="19"/>
      <c r="B106" s="27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ht="15.75" customHeight="1">
      <c r="A107" s="19"/>
      <c r="B107" s="27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ht="15.75" customHeight="1">
      <c r="A108" s="19"/>
      <c r="B108" s="27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ht="15.75" customHeight="1">
      <c r="A109" s="19"/>
      <c r="B109" s="27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ht="15.75" customHeight="1">
      <c r="A110" s="19"/>
      <c r="B110" s="27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ht="15.75" customHeight="1">
      <c r="A111" s="19"/>
      <c r="B111" s="27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ht="15.75" customHeight="1">
      <c r="A112" s="19"/>
      <c r="B112" s="27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ht="15.75" customHeight="1">
      <c r="A113" s="19"/>
      <c r="B113" s="27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ht="15.75" customHeight="1">
      <c r="A114" s="19"/>
      <c r="B114" s="27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ht="15.75" customHeight="1">
      <c r="A115" s="19"/>
      <c r="B115" s="27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ht="15.75" customHeight="1">
      <c r="A116" s="19"/>
      <c r="B116" s="27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ht="15.75" customHeight="1">
      <c r="A117" s="19"/>
      <c r="B117" s="27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ht="15.75" customHeight="1">
      <c r="A118" s="19"/>
      <c r="B118" s="27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5.75" customHeight="1">
      <c r="A119" s="19"/>
      <c r="B119" s="27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5.75" customHeight="1">
      <c r="A120" s="19"/>
      <c r="B120" s="27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5.75" customHeight="1">
      <c r="A121" s="19"/>
      <c r="B121" s="27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5.75" customHeight="1">
      <c r="A122" s="19"/>
      <c r="B122" s="27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5.75" customHeight="1">
      <c r="A123" s="19"/>
      <c r="B123" s="27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5.75" customHeight="1">
      <c r="A124" s="19"/>
      <c r="B124" s="27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ht="15.75" customHeight="1">
      <c r="A125" s="19"/>
      <c r="B125" s="27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ht="15.75" customHeight="1">
      <c r="A126" s="19"/>
      <c r="B126" s="27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ht="15.75" customHeight="1">
      <c r="A127" s="19"/>
      <c r="B127" s="27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ht="15.75" customHeight="1">
      <c r="A128" s="19"/>
      <c r="B128" s="27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ht="15.75" customHeight="1">
      <c r="A129" s="19"/>
      <c r="B129" s="27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ht="15.75" customHeight="1">
      <c r="A130" s="19"/>
      <c r="B130" s="27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ht="15.75" customHeight="1">
      <c r="A131" s="19"/>
      <c r="B131" s="27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ht="15.75" customHeight="1">
      <c r="A132" s="19"/>
      <c r="B132" s="27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ht="15.75" customHeight="1">
      <c r="A133" s="19"/>
      <c r="B133" s="27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ht="15.75" customHeight="1">
      <c r="A134" s="19"/>
      <c r="B134" s="27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ht="15.75" customHeight="1">
      <c r="A135" s="19"/>
      <c r="B135" s="27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ht="15.75" customHeight="1">
      <c r="A136" s="19"/>
      <c r="B136" s="27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ht="15.75" customHeight="1">
      <c r="A137" s="19"/>
      <c r="B137" s="27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ht="15.75" customHeight="1">
      <c r="A138" s="19"/>
      <c r="B138" s="27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ht="15.75" customHeight="1">
      <c r="A139" s="19"/>
      <c r="B139" s="27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ht="15.75" customHeight="1">
      <c r="A140" s="19"/>
      <c r="B140" s="27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ht="15.75" customHeight="1">
      <c r="A141" s="19"/>
      <c r="B141" s="27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ht="15.75" customHeight="1">
      <c r="A142" s="19"/>
      <c r="B142" s="27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ht="15.75" customHeight="1">
      <c r="A143" s="19"/>
      <c r="B143" s="27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ht="15.75" customHeight="1">
      <c r="A144" s="19"/>
      <c r="B144" s="27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ht="15.75" customHeight="1">
      <c r="A145" s="19"/>
      <c r="B145" s="27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ht="15.75" customHeight="1">
      <c r="A146" s="19"/>
      <c r="B146" s="27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ht="15.75" customHeight="1">
      <c r="A147" s="19"/>
      <c r="B147" s="27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ht="15.75" customHeight="1">
      <c r="A148" s="19"/>
      <c r="B148" s="27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ht="15.75" customHeight="1">
      <c r="A149" s="19"/>
      <c r="B149" s="27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ht="15.75" customHeight="1">
      <c r="A150" s="19"/>
      <c r="B150" s="27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ht="15.75" customHeight="1">
      <c r="A151" s="19"/>
      <c r="B151" s="27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ht="15.75" customHeight="1">
      <c r="A152" s="19"/>
      <c r="B152" s="27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ht="15.75" customHeight="1">
      <c r="A153" s="19"/>
      <c r="B153" s="27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ht="15.75" customHeight="1">
      <c r="A154" s="19"/>
      <c r="B154" s="27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ht="15.75" customHeight="1">
      <c r="A155" s="19"/>
      <c r="B155" s="27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ht="15.75" customHeight="1">
      <c r="A156" s="19"/>
      <c r="B156" s="27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ht="15.75" customHeight="1">
      <c r="A157" s="19"/>
      <c r="B157" s="27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ht="15.75" customHeight="1">
      <c r="A158" s="19"/>
      <c r="B158" s="27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ht="15.75" customHeight="1">
      <c r="A159" s="19"/>
      <c r="B159" s="27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ht="15.75" customHeight="1">
      <c r="A160" s="19"/>
      <c r="B160" s="27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ht="15.75" customHeight="1">
      <c r="A161" s="19"/>
      <c r="B161" s="27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ht="15.75" customHeight="1">
      <c r="A162" s="19"/>
      <c r="B162" s="27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ht="15.75" customHeight="1">
      <c r="A163" s="19"/>
      <c r="B163" s="27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ht="15.75" customHeight="1">
      <c r="A164" s="19"/>
      <c r="B164" s="27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ht="15.75" customHeight="1">
      <c r="A165" s="19"/>
      <c r="B165" s="27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ht="15.75" customHeight="1">
      <c r="A166" s="19"/>
      <c r="B166" s="27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ht="15.75" customHeight="1">
      <c r="A167" s="19"/>
      <c r="B167" s="27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ht="15.75" customHeight="1">
      <c r="A168" s="19"/>
      <c r="B168" s="27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ht="15.75" customHeight="1">
      <c r="A169" s="19"/>
      <c r="B169" s="27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ht="15.75" customHeight="1">
      <c r="A170" s="19"/>
      <c r="B170" s="27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ht="15.75" customHeight="1">
      <c r="A171" s="19"/>
      <c r="B171" s="27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ht="15.75" customHeight="1">
      <c r="A172" s="19"/>
      <c r="B172" s="27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ht="15.75" customHeight="1">
      <c r="A173" s="19"/>
      <c r="B173" s="27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ht="15.75" customHeight="1">
      <c r="A174" s="19"/>
      <c r="B174" s="27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ht="15.75" customHeight="1">
      <c r="A175" s="19"/>
      <c r="B175" s="27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ht="15.75" customHeight="1">
      <c r="A176" s="19"/>
      <c r="B176" s="27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ht="15.75" customHeight="1">
      <c r="A177" s="19"/>
      <c r="B177" s="27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ht="15.75" customHeight="1">
      <c r="A178" s="19"/>
      <c r="B178" s="27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ht="15.75" customHeight="1">
      <c r="A179" s="19"/>
      <c r="B179" s="27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ht="15.75" customHeight="1">
      <c r="A180" s="19"/>
      <c r="B180" s="27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ht="15.75" customHeight="1">
      <c r="A181" s="19"/>
      <c r="B181" s="27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ht="15.75" customHeight="1">
      <c r="A182" s="19"/>
      <c r="B182" s="27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ht="15.75" customHeight="1">
      <c r="A183" s="19"/>
      <c r="B183" s="27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ht="15.75" customHeight="1">
      <c r="A184" s="19"/>
      <c r="B184" s="27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ht="15.75" customHeight="1">
      <c r="A185" s="19"/>
      <c r="B185" s="27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ht="15.75" customHeight="1">
      <c r="A186" s="19"/>
      <c r="B186" s="27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ht="15.75" customHeight="1">
      <c r="A187" s="19"/>
      <c r="B187" s="27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ht="15.75" customHeight="1">
      <c r="A188" s="19"/>
      <c r="B188" s="27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ht="15.75" customHeight="1">
      <c r="A189" s="19"/>
      <c r="B189" s="27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ht="15.75" customHeight="1">
      <c r="A190" s="19"/>
      <c r="B190" s="27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ht="15.75" customHeight="1">
      <c r="A191" s="19"/>
      <c r="B191" s="27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ht="15.75" customHeight="1">
      <c r="A192" s="19"/>
      <c r="B192" s="27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ht="15.75" customHeight="1">
      <c r="A193" s="19"/>
      <c r="B193" s="27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ht="15.75" customHeight="1">
      <c r="A194" s="19"/>
      <c r="B194" s="27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ht="15.75" customHeight="1">
      <c r="A195" s="19"/>
      <c r="B195" s="27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ht="15.75" customHeight="1">
      <c r="A196" s="19"/>
      <c r="B196" s="27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ht="15.75" customHeight="1">
      <c r="A197" s="19"/>
      <c r="B197" s="27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ht="15.75" customHeight="1">
      <c r="A198" s="19"/>
      <c r="B198" s="27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ht="15.75" customHeight="1">
      <c r="A199" s="19"/>
      <c r="B199" s="27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ht="15.75" customHeight="1">
      <c r="A200" s="19"/>
      <c r="B200" s="27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ht="15.75" customHeight="1">
      <c r="A201" s="19"/>
      <c r="B201" s="27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ht="15.75" customHeight="1">
      <c r="A202" s="19"/>
      <c r="B202" s="27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ht="15.75" customHeight="1">
      <c r="A203" s="19"/>
      <c r="B203" s="27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ht="15.75" customHeight="1">
      <c r="A204" s="19"/>
      <c r="B204" s="27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ht="15.75" customHeight="1">
      <c r="A205" s="19"/>
      <c r="B205" s="27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ht="15.75" customHeight="1">
      <c r="A206" s="19"/>
      <c r="B206" s="27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ht="15.75" customHeight="1">
      <c r="A207" s="19"/>
      <c r="B207" s="27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ht="15.75" customHeight="1">
      <c r="A208" s="19"/>
      <c r="B208" s="27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ht="15.75" customHeight="1">
      <c r="A209" s="19"/>
      <c r="B209" s="27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ht="15.75" customHeight="1">
      <c r="A210" s="19"/>
      <c r="B210" s="27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ht="15.75" customHeight="1">
      <c r="A211" s="19"/>
      <c r="B211" s="27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ht="15.75" customHeight="1">
      <c r="A212" s="19"/>
      <c r="B212" s="27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ht="15.75" customHeight="1">
      <c r="A213" s="19"/>
      <c r="B213" s="27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ht="15.75" customHeight="1">
      <c r="A214" s="19"/>
      <c r="B214" s="27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ht="15.75" customHeight="1">
      <c r="A215" s="19"/>
      <c r="B215" s="27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ht="15.75" customHeight="1">
      <c r="A216" s="19"/>
      <c r="B216" s="27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ht="15.75" customHeight="1">
      <c r="A217" s="19"/>
      <c r="B217" s="27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ht="15.75" customHeight="1">
      <c r="A218" s="19"/>
      <c r="B218" s="27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ht="15.75" customHeight="1">
      <c r="A219" s="28"/>
      <c r="B219" s="2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 ht="15.75" customHeight="1">
      <c r="A220" s="28"/>
      <c r="B220" s="2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 ht="15.75" customHeight="1">
      <c r="A221" s="28"/>
      <c r="B221" s="2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 ht="15.75" customHeight="1">
      <c r="A222" s="28"/>
      <c r="B222" s="2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 ht="15.75" customHeight="1">
      <c r="A223" s="28"/>
      <c r="B223" s="2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 ht="15.75" customHeight="1">
      <c r="A224" s="28"/>
      <c r="B224" s="2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 ht="15.75" customHeight="1">
      <c r="A225" s="28"/>
      <c r="B225" s="2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 ht="15.75" customHeight="1">
      <c r="A226" s="28"/>
      <c r="B226" s="2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 ht="15.75" customHeight="1">
      <c r="A227" s="28"/>
      <c r="B227" s="2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 ht="15.75" customHeight="1">
      <c r="A228" s="28"/>
      <c r="B228" s="2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 ht="15.75" customHeight="1">
      <c r="A229" s="28"/>
      <c r="B229" s="2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 ht="15.75" customHeight="1">
      <c r="A230" s="28"/>
      <c r="B230" s="2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 ht="15.75" customHeight="1">
      <c r="A231" s="28"/>
      <c r="B231" s="2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 ht="15.75" customHeight="1">
      <c r="A232" s="28"/>
      <c r="B232" s="2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 ht="15.75" customHeight="1">
      <c r="A233" s="28"/>
      <c r="B233" s="2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 ht="15.75" customHeight="1">
      <c r="A234" s="28"/>
      <c r="B234" s="2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 ht="15.75" customHeight="1">
      <c r="A235" s="28"/>
      <c r="B235" s="2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 ht="15.75" customHeight="1">
      <c r="A236" s="28"/>
      <c r="B236" s="2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 ht="15.75" customHeight="1">
      <c r="A237" s="28"/>
      <c r="B237" s="2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 ht="15.75" customHeight="1">
      <c r="A238" s="28"/>
      <c r="B238" s="2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 ht="15.75" customHeight="1">
      <c r="A239" s="28"/>
      <c r="B239" s="2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 ht="15.75" customHeight="1">
      <c r="A240" s="28"/>
      <c r="B240" s="2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 ht="15.75" customHeight="1">
      <c r="A241" s="28"/>
      <c r="B241" s="2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 ht="15.75" customHeight="1">
      <c r="A242" s="28"/>
      <c r="B242" s="2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 ht="15.75" customHeight="1">
      <c r="A243" s="28"/>
      <c r="B243" s="2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 ht="15.75" customHeight="1">
      <c r="A244" s="28"/>
      <c r="B244" s="2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 ht="15.75" customHeight="1">
      <c r="A245" s="28"/>
      <c r="B245" s="2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 ht="15.75" customHeight="1">
      <c r="A246" s="28"/>
      <c r="B246" s="2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 ht="15.75" customHeight="1">
      <c r="A247" s="28"/>
      <c r="B247" s="2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 ht="15.75" customHeight="1">
      <c r="A248" s="28"/>
      <c r="B248" s="2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 ht="15.75" customHeight="1">
      <c r="A249" s="28"/>
      <c r="B249" s="2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 ht="15.75" customHeight="1">
      <c r="A250" s="28"/>
      <c r="B250" s="2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 ht="15.75" customHeight="1">
      <c r="A251" s="28"/>
      <c r="B251" s="2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 ht="15.75" customHeight="1">
      <c r="A252" s="28"/>
      <c r="B252" s="2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 ht="15.75" customHeight="1">
      <c r="A253" s="28"/>
      <c r="B253" s="2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 ht="15.75" customHeight="1">
      <c r="A254" s="28"/>
      <c r="B254" s="2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 ht="15.75" customHeight="1">
      <c r="A255" s="28"/>
      <c r="B255" s="2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 ht="15.75" customHeight="1">
      <c r="A256" s="28"/>
      <c r="B256" s="2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 ht="15.75" customHeight="1">
      <c r="A257" s="28"/>
      <c r="B257" s="2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 ht="15.75" customHeight="1">
      <c r="A258" s="28"/>
      <c r="B258" s="2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 ht="15.75" customHeight="1">
      <c r="A259" s="28"/>
      <c r="B259" s="2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 ht="15.75" customHeight="1">
      <c r="A260" s="28"/>
      <c r="B260" s="2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 ht="15.75" customHeight="1">
      <c r="A261" s="28"/>
      <c r="B261" s="2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 ht="15.75" customHeight="1">
      <c r="A262" s="28"/>
      <c r="B262" s="2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 ht="15.75" customHeight="1">
      <c r="A263" s="28"/>
      <c r="B263" s="2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 ht="15.75" customHeight="1">
      <c r="A264" s="28"/>
      <c r="B264" s="2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 ht="15.75" customHeight="1">
      <c r="A265" s="28"/>
      <c r="B265" s="2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 ht="15.75" customHeight="1">
      <c r="A266" s="28"/>
      <c r="B266" s="2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 ht="15.75" customHeight="1">
      <c r="A267" s="28"/>
      <c r="B267" s="2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 ht="15.75" customHeight="1">
      <c r="A268" s="28"/>
      <c r="B268" s="2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 ht="15.75" customHeight="1">
      <c r="A269" s="28"/>
      <c r="B269" s="2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 ht="15.75" customHeight="1">
      <c r="A270" s="28"/>
      <c r="B270" s="2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 ht="15.75" customHeight="1">
      <c r="A271" s="28"/>
      <c r="B271" s="2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 ht="15.75" customHeight="1">
      <c r="A272" s="28"/>
      <c r="B272" s="2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 ht="15.75" customHeight="1">
      <c r="A273" s="28"/>
      <c r="B273" s="2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 ht="15.75" customHeight="1">
      <c r="A274" s="28"/>
      <c r="B274" s="2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 ht="15.75" customHeight="1">
      <c r="A275" s="28"/>
      <c r="B275" s="2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 ht="15.75" customHeight="1">
      <c r="A276" s="28"/>
      <c r="B276" s="2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 ht="15.75" customHeight="1">
      <c r="A277" s="28"/>
      <c r="B277" s="2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ht="15.75" customHeight="1">
      <c r="A278" s="28"/>
      <c r="B278" s="2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 ht="15.75" customHeight="1">
      <c r="A279" s="28"/>
      <c r="B279" s="2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 ht="15.75" customHeight="1">
      <c r="A280" s="28"/>
      <c r="B280" s="2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 ht="15.75" customHeight="1">
      <c r="A281" s="28"/>
      <c r="B281" s="2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 ht="15.75" customHeight="1">
      <c r="A282" s="28"/>
      <c r="B282" s="2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 ht="15.75" customHeight="1">
      <c r="A283" s="28"/>
      <c r="B283" s="2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 ht="15.75" customHeight="1">
      <c r="A284" s="28"/>
      <c r="B284" s="2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 ht="15.75" customHeight="1">
      <c r="A285" s="28"/>
      <c r="B285" s="2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 ht="15.75" customHeight="1">
      <c r="A286" s="28"/>
      <c r="B286" s="2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 ht="15.75" customHeight="1">
      <c r="A287" s="28"/>
      <c r="B287" s="2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 ht="15.75" customHeight="1">
      <c r="A288" s="28"/>
      <c r="B288" s="2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 ht="15.75" customHeight="1">
      <c r="A289" s="28"/>
      <c r="B289" s="2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 ht="15.75" customHeight="1">
      <c r="A290" s="28"/>
      <c r="B290" s="2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 ht="15.75" customHeight="1">
      <c r="A291" s="28"/>
      <c r="B291" s="2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 ht="15.75" customHeight="1">
      <c r="A292" s="28"/>
      <c r="B292" s="2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 ht="15.75" customHeight="1">
      <c r="A293" s="28"/>
      <c r="B293" s="2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 ht="15.75" customHeight="1">
      <c r="A294" s="28"/>
      <c r="B294" s="2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 ht="15.75" customHeight="1">
      <c r="A295" s="28"/>
      <c r="B295" s="2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 ht="15.75" customHeight="1">
      <c r="A296" s="28"/>
      <c r="B296" s="2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 ht="15.75" customHeight="1">
      <c r="A297" s="28"/>
      <c r="B297" s="2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 ht="15.75" customHeight="1">
      <c r="A298" s="28"/>
      <c r="B298" s="2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 ht="15.75" customHeight="1">
      <c r="A299" s="28"/>
      <c r="B299" s="2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 ht="15.75" customHeight="1">
      <c r="A300" s="28"/>
      <c r="B300" s="2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 ht="15.75" customHeight="1">
      <c r="A301" s="28"/>
      <c r="B301" s="2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 ht="15.75" customHeight="1">
      <c r="A302" s="28"/>
      <c r="B302" s="2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 ht="15.75" customHeight="1">
      <c r="A303" s="28"/>
      <c r="B303" s="2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 ht="15.75" customHeight="1">
      <c r="A304" s="28"/>
      <c r="B304" s="2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 ht="15.75" customHeight="1">
      <c r="A305" s="28"/>
      <c r="B305" s="2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 ht="15.75" customHeight="1">
      <c r="A306" s="28"/>
      <c r="B306" s="2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 ht="15.75" customHeight="1">
      <c r="A307" s="28"/>
      <c r="B307" s="2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 ht="15.75" customHeight="1">
      <c r="A308" s="28"/>
      <c r="B308" s="2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 ht="15.75" customHeight="1">
      <c r="A309" s="28"/>
      <c r="B309" s="2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 ht="15.75" customHeight="1">
      <c r="A310" s="28"/>
      <c r="B310" s="2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 ht="15.75" customHeight="1">
      <c r="A311" s="28"/>
      <c r="B311" s="29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 ht="15.75" customHeight="1">
      <c r="A312" s="28"/>
      <c r="B312" s="29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 ht="15.75" customHeight="1">
      <c r="A313" s="28"/>
      <c r="B313" s="29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 ht="15.75" customHeight="1">
      <c r="A314" s="28"/>
      <c r="B314" s="29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 ht="15.75" customHeight="1">
      <c r="A315" s="28"/>
      <c r="B315" s="29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 ht="15.75" customHeight="1">
      <c r="A316" s="28"/>
      <c r="B316" s="29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 ht="15.75" customHeight="1">
      <c r="A317" s="28"/>
      <c r="B317" s="29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 ht="15.75" customHeight="1">
      <c r="A318" s="28"/>
      <c r="B318" s="29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 ht="15.75" customHeight="1">
      <c r="A319" s="28"/>
      <c r="B319" s="29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 ht="15.75" customHeight="1">
      <c r="A320" s="28"/>
      <c r="B320" s="29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 ht="15.75" customHeight="1">
      <c r="A321" s="28"/>
      <c r="B321" s="29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 ht="15.75" customHeight="1">
      <c r="A322" s="28"/>
      <c r="B322" s="29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 ht="15.75" customHeight="1">
      <c r="A323" s="28"/>
      <c r="B323" s="29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 ht="15.75" customHeight="1">
      <c r="A324" s="28"/>
      <c r="B324" s="29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 ht="15.75" customHeight="1">
      <c r="A325" s="28"/>
      <c r="B325" s="29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 ht="15.75" customHeight="1">
      <c r="A326" s="28"/>
      <c r="B326" s="29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 ht="15.75" customHeight="1">
      <c r="A327" s="28"/>
      <c r="B327" s="29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 ht="15.75" customHeight="1">
      <c r="A328" s="28"/>
      <c r="B328" s="29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 ht="15.75" customHeight="1">
      <c r="A329" s="28"/>
      <c r="B329" s="29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 ht="15.75" customHeight="1">
      <c r="A330" s="28"/>
      <c r="B330" s="29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 ht="15.75" customHeight="1">
      <c r="A331" s="28"/>
      <c r="B331" s="29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 ht="15.75" customHeight="1">
      <c r="A332" s="28"/>
      <c r="B332" s="29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 ht="15.75" customHeight="1">
      <c r="A333" s="28"/>
      <c r="B333" s="29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 ht="15.75" customHeight="1">
      <c r="A334" s="28"/>
      <c r="B334" s="29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 ht="15.75" customHeight="1">
      <c r="A335" s="28"/>
      <c r="B335" s="29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 ht="15.75" customHeight="1">
      <c r="A336" s="28"/>
      <c r="B336" s="29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 ht="15.75" customHeight="1">
      <c r="A337" s="28"/>
      <c r="B337" s="29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 ht="15.75" customHeight="1">
      <c r="A338" s="28"/>
      <c r="B338" s="29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 ht="15.75" customHeight="1">
      <c r="A339" s="28"/>
      <c r="B339" s="29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 ht="15.75" customHeight="1">
      <c r="A340" s="28"/>
      <c r="B340" s="29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 ht="15.75" customHeight="1">
      <c r="A341" s="28"/>
      <c r="B341" s="29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 ht="15.75" customHeight="1">
      <c r="A342" s="28"/>
      <c r="B342" s="29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 ht="15.75" customHeight="1">
      <c r="A343" s="28"/>
      <c r="B343" s="29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 ht="15.75" customHeight="1">
      <c r="A344" s="28"/>
      <c r="B344" s="29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 ht="15.75" customHeight="1">
      <c r="A345" s="28"/>
      <c r="B345" s="29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 ht="15.75" customHeight="1">
      <c r="A346" s="28"/>
      <c r="B346" s="29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 ht="15.75" customHeight="1">
      <c r="A347" s="28"/>
      <c r="B347" s="29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 ht="15.75" customHeight="1">
      <c r="A348" s="28"/>
      <c r="B348" s="29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 ht="15.75" customHeight="1">
      <c r="A349" s="28"/>
      <c r="B349" s="29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 ht="15.75" customHeight="1">
      <c r="A350" s="28"/>
      <c r="B350" s="29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 ht="15.75" customHeight="1">
      <c r="A351" s="28"/>
      <c r="B351" s="29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 ht="15.75" customHeight="1">
      <c r="A352" s="28"/>
      <c r="B352" s="29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 ht="15.75" customHeight="1">
      <c r="A353" s="28"/>
      <c r="B353" s="29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 ht="15.75" customHeight="1">
      <c r="A354" s="28"/>
      <c r="B354" s="29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 ht="15.75" customHeight="1">
      <c r="A355" s="28"/>
      <c r="B355" s="29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 ht="15.75" customHeight="1">
      <c r="A356" s="28"/>
      <c r="B356" s="29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 ht="15.75" customHeight="1">
      <c r="A357" s="28"/>
      <c r="B357" s="29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ht="15.75" customHeight="1">
      <c r="A358" s="28"/>
      <c r="B358" s="29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 ht="15.75" customHeight="1">
      <c r="A359" s="28"/>
      <c r="B359" s="29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 ht="15.75" customHeight="1">
      <c r="A360" s="28"/>
      <c r="B360" s="29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 ht="15.75" customHeight="1">
      <c r="A361" s="28"/>
      <c r="B361" s="29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 ht="15.75" customHeight="1">
      <c r="A362" s="28"/>
      <c r="B362" s="29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 ht="15.75" customHeight="1">
      <c r="A363" s="28"/>
      <c r="B363" s="29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 ht="15.75" customHeight="1">
      <c r="A364" s="28"/>
      <c r="B364" s="29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 ht="15.75" customHeight="1">
      <c r="A365" s="28"/>
      <c r="B365" s="29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 ht="15.75" customHeight="1">
      <c r="A366" s="28"/>
      <c r="B366" s="29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 ht="15.75" customHeight="1">
      <c r="A367" s="28"/>
      <c r="B367" s="29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 ht="15.75" customHeight="1">
      <c r="A368" s="28"/>
      <c r="B368" s="29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 ht="15.75" customHeight="1">
      <c r="A369" s="28"/>
      <c r="B369" s="29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 ht="15.75" customHeight="1">
      <c r="A370" s="28"/>
      <c r="B370" s="29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 ht="15.75" customHeight="1">
      <c r="A371" s="28"/>
      <c r="B371" s="29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 ht="15.75" customHeight="1">
      <c r="A372" s="28"/>
      <c r="B372" s="29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 ht="15.75" customHeight="1">
      <c r="A373" s="28"/>
      <c r="B373" s="29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 ht="15.75" customHeight="1">
      <c r="A374" s="28"/>
      <c r="B374" s="29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 ht="15.75" customHeight="1">
      <c r="A375" s="28"/>
      <c r="B375" s="29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 ht="15.75" customHeight="1">
      <c r="A376" s="28"/>
      <c r="B376" s="29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 ht="15.75" customHeight="1">
      <c r="A377" s="28"/>
      <c r="B377" s="29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 ht="15.75" customHeight="1">
      <c r="A378" s="28"/>
      <c r="B378" s="29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 ht="15.75" customHeight="1">
      <c r="A379" s="28"/>
      <c r="B379" s="29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 ht="15.75" customHeight="1">
      <c r="A380" s="28"/>
      <c r="B380" s="29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 ht="15.75" customHeight="1">
      <c r="A381" s="28"/>
      <c r="B381" s="29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 ht="15.75" customHeight="1">
      <c r="A382" s="28"/>
      <c r="B382" s="29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 ht="15.75" customHeight="1">
      <c r="A383" s="28"/>
      <c r="B383" s="29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 ht="15.75" customHeight="1">
      <c r="A384" s="28"/>
      <c r="B384" s="29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 ht="15.75" customHeight="1">
      <c r="A385" s="28"/>
      <c r="B385" s="29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 ht="15.75" customHeight="1">
      <c r="A386" s="28"/>
      <c r="B386" s="29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 ht="15.75" customHeight="1">
      <c r="A387" s="28"/>
      <c r="B387" s="29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 ht="15.75" customHeight="1">
      <c r="A388" s="28"/>
      <c r="B388" s="29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 ht="15.75" customHeight="1">
      <c r="A389" s="28"/>
      <c r="B389" s="29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 ht="15.75" customHeight="1">
      <c r="A390" s="28"/>
      <c r="B390" s="29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 ht="15.75" customHeight="1">
      <c r="A391" s="28"/>
      <c r="B391" s="29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 ht="15.75" customHeight="1">
      <c r="A392" s="28"/>
      <c r="B392" s="29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 ht="15.75" customHeight="1">
      <c r="A393" s="28"/>
      <c r="B393" s="29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 ht="15.75" customHeight="1">
      <c r="A394" s="28"/>
      <c r="B394" s="29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 ht="15.75" customHeight="1">
      <c r="A395" s="28"/>
      <c r="B395" s="29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 ht="15.75" customHeight="1">
      <c r="A396" s="28"/>
      <c r="B396" s="29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 ht="15.75" customHeight="1">
      <c r="A397" s="28"/>
      <c r="B397" s="29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 ht="15.75" customHeight="1">
      <c r="A398" s="28"/>
      <c r="B398" s="29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 ht="15.75" customHeight="1">
      <c r="A399" s="28"/>
      <c r="B399" s="29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 ht="15.75" customHeight="1">
      <c r="A400" s="28"/>
      <c r="B400" s="29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 ht="15.75" customHeight="1">
      <c r="A401" s="28"/>
      <c r="B401" s="29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 ht="15.75" customHeight="1">
      <c r="A402" s="28"/>
      <c r="B402" s="29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 ht="15.75" customHeight="1">
      <c r="A403" s="28"/>
      <c r="B403" s="29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 ht="15.75" customHeight="1">
      <c r="A404" s="28"/>
      <c r="B404" s="29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 ht="15.75" customHeight="1">
      <c r="A405" s="28"/>
      <c r="B405" s="29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 ht="15.75" customHeight="1">
      <c r="A406" s="28"/>
      <c r="B406" s="29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 ht="15.75" customHeight="1">
      <c r="A407" s="28"/>
      <c r="B407" s="29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 ht="15.75" customHeight="1">
      <c r="A408" s="28"/>
      <c r="B408" s="29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 ht="15.75" customHeight="1">
      <c r="A409" s="28"/>
      <c r="B409" s="29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 ht="15.75" customHeight="1">
      <c r="A410" s="28"/>
      <c r="B410" s="29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 ht="15.75" customHeight="1">
      <c r="A411" s="28"/>
      <c r="B411" s="29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 ht="15.75" customHeight="1">
      <c r="A412" s="28"/>
      <c r="B412" s="29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 ht="15.75" customHeight="1">
      <c r="A413" s="28"/>
      <c r="B413" s="29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 ht="15.75" customHeight="1">
      <c r="A414" s="28"/>
      <c r="B414" s="29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 ht="15.75" customHeight="1">
      <c r="A415" s="28"/>
      <c r="B415" s="29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 ht="15.75" customHeight="1">
      <c r="A416" s="28"/>
      <c r="B416" s="29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 ht="15.75" customHeight="1">
      <c r="A417" s="28"/>
      <c r="B417" s="29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 ht="15.75" customHeight="1">
      <c r="A418" s="28"/>
      <c r="B418" s="29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 ht="15.75" customHeight="1">
      <c r="A419" s="28"/>
      <c r="B419" s="29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 ht="15.75" customHeight="1">
      <c r="A420" s="28"/>
      <c r="B420" s="29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 ht="15.75" customHeight="1">
      <c r="A421" s="28"/>
      <c r="B421" s="29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 ht="15.75" customHeight="1">
      <c r="A422" s="28"/>
      <c r="B422" s="29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 ht="15.75" customHeight="1">
      <c r="A423" s="28"/>
      <c r="B423" s="29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 ht="15.75" customHeight="1">
      <c r="A424" s="28"/>
      <c r="B424" s="29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 ht="15.75" customHeight="1">
      <c r="A425" s="28"/>
      <c r="B425" s="29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 ht="15.75" customHeight="1">
      <c r="A426" s="28"/>
      <c r="B426" s="29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 ht="15.75" customHeight="1">
      <c r="A427" s="28"/>
      <c r="B427" s="29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 ht="15.75" customHeight="1">
      <c r="A428" s="28"/>
      <c r="B428" s="29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 ht="15.75" customHeight="1">
      <c r="A429" s="28"/>
      <c r="B429" s="29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 ht="15.75" customHeight="1">
      <c r="A430" s="28"/>
      <c r="B430" s="29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 ht="15.75" customHeight="1">
      <c r="A431" s="28"/>
      <c r="B431" s="29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 ht="15.75" customHeight="1">
      <c r="A432" s="28"/>
      <c r="B432" s="29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 ht="15.75" customHeight="1">
      <c r="A433" s="28"/>
      <c r="B433" s="29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 ht="15.75" customHeight="1">
      <c r="A434" s="28"/>
      <c r="B434" s="29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 ht="15.75" customHeight="1">
      <c r="A435" s="28"/>
      <c r="B435" s="29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 ht="15.75" customHeight="1">
      <c r="A436" s="28"/>
      <c r="B436" s="29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 ht="15.75" customHeight="1">
      <c r="A437" s="28"/>
      <c r="B437" s="29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 ht="15.75" customHeight="1">
      <c r="A438" s="28"/>
      <c r="B438" s="29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 ht="15.75" customHeight="1">
      <c r="A439" s="28"/>
      <c r="B439" s="29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 ht="15.75" customHeight="1">
      <c r="A440" s="28"/>
      <c r="B440" s="29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 ht="15.75" customHeight="1">
      <c r="A441" s="28"/>
      <c r="B441" s="29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 ht="15.75" customHeight="1">
      <c r="A442" s="28"/>
      <c r="B442" s="29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 ht="15.75" customHeight="1">
      <c r="A443" s="28"/>
      <c r="B443" s="29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 ht="15.75" customHeight="1">
      <c r="A444" s="28"/>
      <c r="B444" s="29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 ht="15.75" customHeight="1">
      <c r="A445" s="28"/>
      <c r="B445" s="29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 ht="15.75" customHeight="1">
      <c r="A446" s="28"/>
      <c r="B446" s="29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 ht="15.75" customHeight="1">
      <c r="A447" s="28"/>
      <c r="B447" s="29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 ht="15.75" customHeight="1">
      <c r="A448" s="28"/>
      <c r="B448" s="29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 ht="15.75" customHeight="1">
      <c r="A449" s="28"/>
      <c r="B449" s="29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 ht="15.75" customHeight="1">
      <c r="A450" s="28"/>
      <c r="B450" s="29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 ht="15.75" customHeight="1">
      <c r="A451" s="28"/>
      <c r="B451" s="29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 ht="15.75" customHeight="1">
      <c r="A452" s="28"/>
      <c r="B452" s="29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 ht="15.75" customHeight="1">
      <c r="A453" s="28"/>
      <c r="B453" s="29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 ht="15.75" customHeight="1">
      <c r="A454" s="28"/>
      <c r="B454" s="29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 ht="15.75" customHeight="1">
      <c r="A455" s="28"/>
      <c r="B455" s="29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 ht="15.75" customHeight="1">
      <c r="A456" s="28"/>
      <c r="B456" s="29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 ht="15.75" customHeight="1">
      <c r="A457" s="28"/>
      <c r="B457" s="29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 ht="15.75" customHeight="1">
      <c r="A458" s="28"/>
      <c r="B458" s="29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 ht="15.75" customHeight="1">
      <c r="A459" s="28"/>
      <c r="B459" s="29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 ht="15.75" customHeight="1">
      <c r="A460" s="28"/>
      <c r="B460" s="29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 ht="15.75" customHeight="1">
      <c r="A461" s="28"/>
      <c r="B461" s="29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 ht="15.75" customHeight="1">
      <c r="A462" s="28"/>
      <c r="B462" s="29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 ht="15.75" customHeight="1">
      <c r="A463" s="28"/>
      <c r="B463" s="29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 ht="15.75" customHeight="1">
      <c r="A464" s="28"/>
      <c r="B464" s="29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 ht="15.75" customHeight="1">
      <c r="A465" s="28"/>
      <c r="B465" s="29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 ht="15.75" customHeight="1">
      <c r="A466" s="28"/>
      <c r="B466" s="29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 ht="15.75" customHeight="1">
      <c r="A467" s="28"/>
      <c r="B467" s="29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 ht="15.75" customHeight="1">
      <c r="A468" s="28"/>
      <c r="B468" s="29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 ht="15.75" customHeight="1">
      <c r="A469" s="28"/>
      <c r="B469" s="29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 ht="15.75" customHeight="1">
      <c r="A470" s="28"/>
      <c r="B470" s="29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 ht="15.75" customHeight="1">
      <c r="A471" s="28"/>
      <c r="B471" s="29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 ht="15.75" customHeight="1">
      <c r="A472" s="28"/>
      <c r="B472" s="29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 ht="15.75" customHeight="1">
      <c r="A473" s="28"/>
      <c r="B473" s="29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 ht="15.75" customHeight="1">
      <c r="A474" s="28"/>
      <c r="B474" s="29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 ht="15.75" customHeight="1">
      <c r="A475" s="28"/>
      <c r="B475" s="29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 ht="15.75" customHeight="1">
      <c r="A476" s="28"/>
      <c r="B476" s="29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 ht="15.75" customHeight="1">
      <c r="A477" s="28"/>
      <c r="B477" s="29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 ht="15.75" customHeight="1">
      <c r="A478" s="28"/>
      <c r="B478" s="29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 ht="15.75" customHeight="1">
      <c r="A479" s="28"/>
      <c r="B479" s="29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 ht="15.75" customHeight="1">
      <c r="A480" s="28"/>
      <c r="B480" s="29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 ht="15.75" customHeight="1">
      <c r="A481" s="28"/>
      <c r="B481" s="29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 ht="15.75" customHeight="1">
      <c r="A482" s="28"/>
      <c r="B482" s="29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 ht="15.75" customHeight="1">
      <c r="A483" s="28"/>
      <c r="B483" s="29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 ht="15.75" customHeight="1">
      <c r="A484" s="28"/>
      <c r="B484" s="29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 ht="15.75" customHeight="1">
      <c r="A485" s="28"/>
      <c r="B485" s="29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 ht="15.75" customHeight="1">
      <c r="A486" s="28"/>
      <c r="B486" s="29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 ht="15.75" customHeight="1">
      <c r="A487" s="28"/>
      <c r="B487" s="29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ht="15.75" customHeight="1">
      <c r="A488" s="28"/>
      <c r="B488" s="29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 ht="15.75" customHeight="1">
      <c r="A489" s="28"/>
      <c r="B489" s="29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 ht="15.75" customHeight="1">
      <c r="A490" s="28"/>
      <c r="B490" s="29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 ht="15.75" customHeight="1">
      <c r="A491" s="28"/>
      <c r="B491" s="29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 ht="15.75" customHeight="1">
      <c r="A492" s="28"/>
      <c r="B492" s="29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 ht="15.75" customHeight="1">
      <c r="A493" s="28"/>
      <c r="B493" s="29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 ht="15.75" customHeight="1">
      <c r="A494" s="28"/>
      <c r="B494" s="29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 ht="15.75" customHeight="1">
      <c r="A495" s="28"/>
      <c r="B495" s="29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 ht="15.75" customHeight="1">
      <c r="A496" s="28"/>
      <c r="B496" s="29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 ht="15.75" customHeight="1">
      <c r="A497" s="28"/>
      <c r="B497" s="29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 ht="15.75" customHeight="1">
      <c r="A498" s="28"/>
      <c r="B498" s="29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 ht="15.75" customHeight="1">
      <c r="A499" s="28"/>
      <c r="B499" s="29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 ht="15.75" customHeight="1">
      <c r="A500" s="28"/>
      <c r="B500" s="2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 ht="15.75" customHeight="1">
      <c r="A501" s="28"/>
      <c r="B501" s="29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 ht="15.75" customHeight="1">
      <c r="A502" s="28"/>
      <c r="B502" s="29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 ht="15.75" customHeight="1">
      <c r="A503" s="28"/>
      <c r="B503" s="29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 ht="15.75" customHeight="1">
      <c r="A504" s="28"/>
      <c r="B504" s="29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 ht="15.75" customHeight="1">
      <c r="A505" s="28"/>
      <c r="B505" s="29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 ht="15.75" customHeight="1">
      <c r="A506" s="28"/>
      <c r="B506" s="29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 ht="15.75" customHeight="1">
      <c r="A507" s="28"/>
      <c r="B507" s="29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 ht="15.75" customHeight="1">
      <c r="A508" s="28"/>
      <c r="B508" s="29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 ht="15.75" customHeight="1">
      <c r="A509" s="28"/>
      <c r="B509" s="29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 ht="15.75" customHeight="1">
      <c r="A510" s="28"/>
      <c r="B510" s="29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 ht="15.75" customHeight="1">
      <c r="A511" s="28"/>
      <c r="B511" s="29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 ht="15.75" customHeight="1">
      <c r="A512" s="28"/>
      <c r="B512" s="29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 ht="15.75" customHeight="1">
      <c r="A513" s="28"/>
      <c r="B513" s="29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 ht="15.75" customHeight="1">
      <c r="A514" s="28"/>
      <c r="B514" s="29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 ht="15.75" customHeight="1">
      <c r="A515" s="28"/>
      <c r="B515" s="29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 ht="15.75" customHeight="1">
      <c r="A516" s="28"/>
      <c r="B516" s="29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 ht="15.75" customHeight="1">
      <c r="A517" s="28"/>
      <c r="B517" s="29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 ht="15.75" customHeight="1">
      <c r="A518" s="28"/>
      <c r="B518" s="29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 ht="15.75" customHeight="1">
      <c r="A519" s="28"/>
      <c r="B519" s="29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 ht="15.75" customHeight="1">
      <c r="A520" s="28"/>
      <c r="B520" s="29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 ht="15.75" customHeight="1">
      <c r="A521" s="28"/>
      <c r="B521" s="29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 ht="15.75" customHeight="1">
      <c r="A522" s="28"/>
      <c r="B522" s="29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 ht="15.75" customHeight="1">
      <c r="A523" s="28"/>
      <c r="B523" s="29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 ht="15.75" customHeight="1">
      <c r="A524" s="28"/>
      <c r="B524" s="29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 ht="15.75" customHeight="1">
      <c r="A525" s="28"/>
      <c r="B525" s="29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 ht="15.75" customHeight="1">
      <c r="A526" s="28"/>
      <c r="B526" s="29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 ht="15.75" customHeight="1">
      <c r="A527" s="28"/>
      <c r="B527" s="29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 ht="15.75" customHeight="1">
      <c r="A528" s="28"/>
      <c r="B528" s="29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 ht="15.75" customHeight="1">
      <c r="A529" s="28"/>
      <c r="B529" s="29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 ht="15.75" customHeight="1">
      <c r="A530" s="28"/>
      <c r="B530" s="29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 ht="15.75" customHeight="1">
      <c r="A531" s="28"/>
      <c r="B531" s="29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 ht="15.75" customHeight="1">
      <c r="A532" s="28"/>
      <c r="B532" s="29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 ht="15.75" customHeight="1">
      <c r="A533" s="28"/>
      <c r="B533" s="29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 ht="15.75" customHeight="1">
      <c r="A534" s="28"/>
      <c r="B534" s="29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 ht="15.75" customHeight="1">
      <c r="A535" s="28"/>
      <c r="B535" s="29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 ht="15.75" customHeight="1">
      <c r="A536" s="28"/>
      <c r="B536" s="29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 ht="15.75" customHeight="1">
      <c r="A537" s="28"/>
      <c r="B537" s="29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 ht="15.75" customHeight="1">
      <c r="A538" s="28"/>
      <c r="B538" s="29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 ht="15.75" customHeight="1">
      <c r="A539" s="28"/>
      <c r="B539" s="29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 ht="15.75" customHeight="1">
      <c r="A540" s="28"/>
      <c r="B540" s="29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 ht="15.75" customHeight="1">
      <c r="A541" s="28"/>
      <c r="B541" s="29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 ht="15.75" customHeight="1">
      <c r="A542" s="28"/>
      <c r="B542" s="29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 ht="15.75" customHeight="1">
      <c r="A543" s="28"/>
      <c r="B543" s="29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 ht="15.75" customHeight="1">
      <c r="A544" s="28"/>
      <c r="B544" s="29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 ht="15.75" customHeight="1">
      <c r="A545" s="28"/>
      <c r="B545" s="29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 ht="15.75" customHeight="1">
      <c r="A546" s="28"/>
      <c r="B546" s="29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 ht="15.75" customHeight="1">
      <c r="A547" s="28"/>
      <c r="B547" s="29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 ht="15.75" customHeight="1">
      <c r="A548" s="28"/>
      <c r="B548" s="29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 ht="15.75" customHeight="1">
      <c r="A549" s="28"/>
      <c r="B549" s="29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 ht="15.75" customHeight="1">
      <c r="A550" s="28"/>
      <c r="B550" s="29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 ht="15.75" customHeight="1">
      <c r="A551" s="28"/>
      <c r="B551" s="29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 ht="15.75" customHeight="1">
      <c r="A552" s="28"/>
      <c r="B552" s="29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 ht="15.75" customHeight="1">
      <c r="A553" s="28"/>
      <c r="B553" s="29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 ht="15.75" customHeight="1">
      <c r="A554" s="28"/>
      <c r="B554" s="29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 ht="15.75" customHeight="1">
      <c r="A555" s="28"/>
      <c r="B555" s="29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 ht="15.75" customHeight="1">
      <c r="A556" s="28"/>
      <c r="B556" s="29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 ht="15.75" customHeight="1">
      <c r="A557" s="28"/>
      <c r="B557" s="29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 ht="15.75" customHeight="1">
      <c r="A558" s="28"/>
      <c r="B558" s="29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 ht="15.75" customHeight="1">
      <c r="A559" s="28"/>
      <c r="B559" s="29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 ht="15.75" customHeight="1">
      <c r="A560" s="28"/>
      <c r="B560" s="29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 ht="15.75" customHeight="1">
      <c r="A561" s="28"/>
      <c r="B561" s="29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 ht="15.75" customHeight="1">
      <c r="A562" s="28"/>
      <c r="B562" s="29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 ht="15.75" customHeight="1">
      <c r="A563" s="28"/>
      <c r="B563" s="29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 ht="15.75" customHeight="1">
      <c r="A564" s="28"/>
      <c r="B564" s="29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 ht="15.75" customHeight="1">
      <c r="A565" s="28"/>
      <c r="B565" s="29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 ht="15.75" customHeight="1">
      <c r="A566" s="28"/>
      <c r="B566" s="29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 ht="15.75" customHeight="1">
      <c r="A567" s="28"/>
      <c r="B567" s="29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 ht="15.75" customHeight="1">
      <c r="A568" s="28"/>
      <c r="B568" s="29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 ht="15.75" customHeight="1">
      <c r="A569" s="28"/>
      <c r="B569" s="29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 ht="15.75" customHeight="1">
      <c r="A570" s="28"/>
      <c r="B570" s="29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 ht="15.75" customHeight="1">
      <c r="A571" s="28"/>
      <c r="B571" s="29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 ht="15.75" customHeight="1">
      <c r="A572" s="28"/>
      <c r="B572" s="29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 ht="15.75" customHeight="1">
      <c r="A573" s="28"/>
      <c r="B573" s="29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 ht="15.75" customHeight="1">
      <c r="A574" s="28"/>
      <c r="B574" s="29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 ht="15.75" customHeight="1">
      <c r="A575" s="28"/>
      <c r="B575" s="29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ht="15.75" customHeight="1">
      <c r="A576" s="28"/>
      <c r="B576" s="29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 ht="15.75" customHeight="1">
      <c r="A577" s="28"/>
      <c r="B577" s="29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 ht="15.75" customHeight="1">
      <c r="A578" s="28"/>
      <c r="B578" s="29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 ht="15.75" customHeight="1">
      <c r="A579" s="28"/>
      <c r="B579" s="29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 ht="15.75" customHeight="1">
      <c r="A580" s="28"/>
      <c r="B580" s="29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 ht="15.75" customHeight="1">
      <c r="A581" s="28"/>
      <c r="B581" s="29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 ht="15.75" customHeight="1">
      <c r="A582" s="28"/>
      <c r="B582" s="29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 ht="15.75" customHeight="1">
      <c r="A583" s="28"/>
      <c r="B583" s="29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 ht="15.75" customHeight="1">
      <c r="A584" s="28"/>
      <c r="B584" s="29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 ht="15.75" customHeight="1">
      <c r="A585" s="28"/>
      <c r="B585" s="29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 ht="15.75" customHeight="1">
      <c r="A586" s="28"/>
      <c r="B586" s="29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 ht="15.75" customHeight="1">
      <c r="A587" s="28"/>
      <c r="B587" s="29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 ht="15.75" customHeight="1">
      <c r="A588" s="28"/>
      <c r="B588" s="29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 ht="15.75" customHeight="1">
      <c r="A589" s="28"/>
      <c r="B589" s="29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 ht="15.75" customHeight="1">
      <c r="A590" s="28"/>
      <c r="B590" s="29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 ht="15.75" customHeight="1">
      <c r="A591" s="28"/>
      <c r="B591" s="29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 ht="15.75" customHeight="1">
      <c r="A592" s="28"/>
      <c r="B592" s="29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 ht="15.75" customHeight="1">
      <c r="A593" s="28"/>
      <c r="B593" s="29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 ht="15.75" customHeight="1">
      <c r="A594" s="28"/>
      <c r="B594" s="29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 ht="15.75" customHeight="1">
      <c r="A595" s="28"/>
      <c r="B595" s="29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 ht="15.75" customHeight="1">
      <c r="A596" s="28"/>
      <c r="B596" s="29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 ht="15.75" customHeight="1">
      <c r="A597" s="28"/>
      <c r="B597" s="29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 ht="15.75" customHeight="1">
      <c r="A598" s="28"/>
      <c r="B598" s="29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 ht="15.75" customHeight="1">
      <c r="A599" s="28"/>
      <c r="B599" s="29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 ht="15.75" customHeight="1">
      <c r="A600" s="28"/>
      <c r="B600" s="29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 ht="15.75" customHeight="1">
      <c r="A601" s="28"/>
      <c r="B601" s="29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 ht="15.75" customHeight="1">
      <c r="A602" s="28"/>
      <c r="B602" s="29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 ht="15.75" customHeight="1">
      <c r="A603" s="28"/>
      <c r="B603" s="29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 ht="15.75" customHeight="1">
      <c r="A604" s="28"/>
      <c r="B604" s="29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 ht="15.75" customHeight="1">
      <c r="A605" s="28"/>
      <c r="B605" s="29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 ht="15.75" customHeight="1">
      <c r="A606" s="28"/>
      <c r="B606" s="29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 ht="15.75" customHeight="1">
      <c r="A607" s="28"/>
      <c r="B607" s="29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 ht="15.75" customHeight="1">
      <c r="A608" s="28"/>
      <c r="B608" s="29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 ht="15.75" customHeight="1">
      <c r="A609" s="28"/>
      <c r="B609" s="29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 ht="15.75" customHeight="1">
      <c r="A610" s="28"/>
      <c r="B610" s="29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 ht="15.75" customHeight="1">
      <c r="A611" s="28"/>
      <c r="B611" s="29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 ht="15.75" customHeight="1">
      <c r="A612" s="28"/>
      <c r="B612" s="29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 ht="15.75" customHeight="1">
      <c r="A613" s="28"/>
      <c r="B613" s="29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 ht="15.75" customHeight="1">
      <c r="A614" s="28"/>
      <c r="B614" s="29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 ht="15.75" customHeight="1">
      <c r="A615" s="28"/>
      <c r="B615" s="29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 ht="15.75" customHeight="1">
      <c r="A616" s="28"/>
      <c r="B616" s="29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 ht="15.75" customHeight="1">
      <c r="A617" s="28"/>
      <c r="B617" s="29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ht="15.75" customHeight="1">
      <c r="A618" s="28"/>
      <c r="B618" s="29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 ht="15.75" customHeight="1">
      <c r="A619" s="28"/>
      <c r="B619" s="29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 ht="15.75" customHeight="1">
      <c r="A620" s="28"/>
      <c r="B620" s="29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 ht="15.75" customHeight="1">
      <c r="A621" s="28"/>
      <c r="B621" s="29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 ht="15.75" customHeight="1">
      <c r="A622" s="28"/>
      <c r="B622" s="29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 ht="15.75" customHeight="1">
      <c r="A623" s="28"/>
      <c r="B623" s="29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 ht="15.75" customHeight="1">
      <c r="A624" s="28"/>
      <c r="B624" s="29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 ht="15.75" customHeight="1">
      <c r="A625" s="28"/>
      <c r="B625" s="29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 ht="15.75" customHeight="1">
      <c r="A626" s="28"/>
      <c r="B626" s="29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 ht="15.75" customHeight="1">
      <c r="A627" s="28"/>
      <c r="B627" s="29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 ht="15.75" customHeight="1">
      <c r="A628" s="28"/>
      <c r="B628" s="29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 ht="15.75" customHeight="1">
      <c r="A629" s="28"/>
      <c r="B629" s="29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 ht="15.75" customHeight="1">
      <c r="A630" s="28"/>
      <c r="B630" s="29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 ht="15.75" customHeight="1">
      <c r="A631" s="28"/>
      <c r="B631" s="29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 ht="15.75" customHeight="1">
      <c r="A632" s="28"/>
      <c r="B632" s="29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 ht="15.75" customHeight="1">
      <c r="A633" s="28"/>
      <c r="B633" s="29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 ht="15.75" customHeight="1">
      <c r="A634" s="28"/>
      <c r="B634" s="29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 ht="15.75" customHeight="1">
      <c r="A635" s="28"/>
      <c r="B635" s="29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 ht="15.75" customHeight="1">
      <c r="A636" s="28"/>
      <c r="B636" s="29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ht="15.75" customHeight="1">
      <c r="A637" s="28"/>
      <c r="B637" s="29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 ht="15.75" customHeight="1">
      <c r="A638" s="28"/>
      <c r="B638" s="29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 ht="15.75" customHeight="1">
      <c r="A639" s="28"/>
      <c r="B639" s="29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 ht="15.75" customHeight="1">
      <c r="A640" s="28"/>
      <c r="B640" s="29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 ht="15.75" customHeight="1">
      <c r="A641" s="28"/>
      <c r="B641" s="29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 ht="15.75" customHeight="1">
      <c r="A642" s="28"/>
      <c r="B642" s="29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 ht="15.75" customHeight="1">
      <c r="A643" s="28"/>
      <c r="B643" s="29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 ht="15.75" customHeight="1">
      <c r="A644" s="28"/>
      <c r="B644" s="29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 ht="15.75" customHeight="1">
      <c r="A645" s="28"/>
      <c r="B645" s="29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 ht="15.75" customHeight="1">
      <c r="A646" s="28"/>
      <c r="B646" s="29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 ht="15.75" customHeight="1">
      <c r="A647" s="28"/>
      <c r="B647" s="29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 ht="15.75" customHeight="1">
      <c r="A648" s="28"/>
      <c r="B648" s="29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 ht="15.75" customHeight="1">
      <c r="A649" s="28"/>
      <c r="B649" s="29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 ht="15.75" customHeight="1">
      <c r="A650" s="28"/>
      <c r="B650" s="29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 ht="15.75" customHeight="1">
      <c r="A651" s="28"/>
      <c r="B651" s="29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 ht="15.75" customHeight="1">
      <c r="A652" s="28"/>
      <c r="B652" s="29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 ht="15.75" customHeight="1">
      <c r="A653" s="28"/>
      <c r="B653" s="29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 ht="15.75" customHeight="1">
      <c r="A654" s="28"/>
      <c r="B654" s="29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 ht="15.75" customHeight="1">
      <c r="A655" s="28"/>
      <c r="B655" s="29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 ht="15.75" customHeight="1">
      <c r="A656" s="28"/>
      <c r="B656" s="29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 ht="15.75" customHeight="1">
      <c r="A657" s="28"/>
      <c r="B657" s="29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 ht="15.75" customHeight="1">
      <c r="A658" s="28"/>
      <c r="B658" s="29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 ht="15.75" customHeight="1">
      <c r="A659" s="28"/>
      <c r="B659" s="29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 ht="15.75" customHeight="1">
      <c r="A660" s="28"/>
      <c r="B660" s="29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 ht="15.75" customHeight="1">
      <c r="A661" s="28"/>
      <c r="B661" s="29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 ht="15.75" customHeight="1">
      <c r="A662" s="28"/>
      <c r="B662" s="29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 ht="15.75" customHeight="1">
      <c r="A663" s="28"/>
      <c r="B663" s="29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 ht="15.75" customHeight="1">
      <c r="A664" s="28"/>
      <c r="B664" s="2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 ht="15.75" customHeight="1">
      <c r="A665" s="28"/>
      <c r="B665" s="29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 ht="15.75" customHeight="1">
      <c r="A666" s="28"/>
      <c r="B666" s="29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 ht="15.75" customHeight="1">
      <c r="A667" s="28"/>
      <c r="B667" s="29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ht="15.75" customHeight="1">
      <c r="A668" s="28"/>
      <c r="B668" s="29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 ht="15.75" customHeight="1">
      <c r="A669" s="28"/>
      <c r="B669" s="29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 ht="15.75" customHeight="1">
      <c r="A670" s="28"/>
      <c r="B670" s="29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 ht="15.75" customHeight="1">
      <c r="A671" s="28"/>
      <c r="B671" s="29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 ht="15.75" customHeight="1">
      <c r="A672" s="28"/>
      <c r="B672" s="29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 ht="15.75" customHeight="1">
      <c r="A673" s="28"/>
      <c r="B673" s="29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 ht="15.75" customHeight="1">
      <c r="A674" s="28"/>
      <c r="B674" s="29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 ht="15.75" customHeight="1">
      <c r="A675" s="28"/>
      <c r="B675" s="29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 ht="15.75" customHeight="1">
      <c r="A676" s="28"/>
      <c r="B676" s="29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 ht="15.75" customHeight="1">
      <c r="A677" s="28"/>
      <c r="B677" s="29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 ht="15.75" customHeight="1">
      <c r="A678" s="28"/>
      <c r="B678" s="29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 ht="15.75" customHeight="1">
      <c r="A679" s="28"/>
      <c r="B679" s="29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 ht="15.75" customHeight="1">
      <c r="A680" s="28"/>
      <c r="B680" s="29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 ht="15.75" customHeight="1">
      <c r="A681" s="28"/>
      <c r="B681" s="29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 ht="15.75" customHeight="1">
      <c r="A682" s="28"/>
      <c r="B682" s="29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 ht="15.75" customHeight="1">
      <c r="A683" s="28"/>
      <c r="B683" s="29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 ht="15.75" customHeight="1">
      <c r="A684" s="28"/>
      <c r="B684" s="29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 ht="15.75" customHeight="1">
      <c r="A685" s="28"/>
      <c r="B685" s="29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 ht="15.75" customHeight="1">
      <c r="A686" s="28"/>
      <c r="B686" s="29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 ht="15.75" customHeight="1">
      <c r="A687" s="28"/>
      <c r="B687" s="29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 ht="15.75" customHeight="1">
      <c r="A688" s="28"/>
      <c r="B688" s="29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 ht="15.75" customHeight="1">
      <c r="A689" s="28"/>
      <c r="B689" s="29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 ht="15.75" customHeight="1">
      <c r="A690" s="28"/>
      <c r="B690" s="29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 ht="15.75" customHeight="1">
      <c r="A691" s="28"/>
      <c r="B691" s="29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 ht="15.75" customHeight="1">
      <c r="A692" s="28"/>
      <c r="B692" s="29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 ht="15.75" customHeight="1">
      <c r="A693" s="28"/>
      <c r="B693" s="29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 ht="15.75" customHeight="1">
      <c r="A694" s="28"/>
      <c r="B694" s="29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 ht="15.75" customHeight="1">
      <c r="A695" s="28"/>
      <c r="B695" s="29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 ht="15.75" customHeight="1">
      <c r="A696" s="28"/>
      <c r="B696" s="29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 ht="15.75" customHeight="1">
      <c r="A697" s="28"/>
      <c r="B697" s="29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 ht="15.75" customHeight="1">
      <c r="A698" s="28"/>
      <c r="B698" s="29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 ht="15.75" customHeight="1">
      <c r="A699" s="28"/>
      <c r="B699" s="29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 ht="15.75" customHeight="1">
      <c r="A700" s="28"/>
      <c r="B700" s="29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 ht="15.75" customHeight="1">
      <c r="A701" s="28"/>
      <c r="B701" s="29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ht="15.75" customHeight="1">
      <c r="A702" s="28"/>
      <c r="B702" s="29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 ht="15.75" customHeight="1">
      <c r="A703" s="28"/>
      <c r="B703" s="29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 ht="15.75" customHeight="1">
      <c r="A704" s="28"/>
      <c r="B704" s="29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 ht="15.75" customHeight="1">
      <c r="A705" s="28"/>
      <c r="B705" s="29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 ht="15.75" customHeight="1">
      <c r="A706" s="28"/>
      <c r="B706" s="29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 ht="15.75" customHeight="1">
      <c r="A707" s="28"/>
      <c r="B707" s="29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 ht="15.75" customHeight="1">
      <c r="A708" s="28"/>
      <c r="B708" s="29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 ht="15.75" customHeight="1">
      <c r="A709" s="28"/>
      <c r="B709" s="29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 ht="15.75" customHeight="1">
      <c r="A710" s="28"/>
      <c r="B710" s="29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 ht="15.75" customHeight="1">
      <c r="A711" s="28"/>
      <c r="B711" s="29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 ht="15.75" customHeight="1">
      <c r="A712" s="28"/>
      <c r="B712" s="29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 ht="15.75" customHeight="1">
      <c r="A713" s="28"/>
      <c r="B713" s="29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 ht="15.75" customHeight="1">
      <c r="A714" s="28"/>
      <c r="B714" s="29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 ht="15.75" customHeight="1">
      <c r="A715" s="28"/>
      <c r="B715" s="29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 ht="15.75" customHeight="1">
      <c r="A716" s="28"/>
      <c r="B716" s="29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 ht="15.75" customHeight="1">
      <c r="A717" s="28"/>
      <c r="B717" s="29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 ht="15.75" customHeight="1">
      <c r="A718" s="28"/>
      <c r="B718" s="29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 ht="15.75" customHeight="1">
      <c r="A719" s="28"/>
      <c r="B719" s="29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 ht="15.75" customHeight="1">
      <c r="A720" s="28"/>
      <c r="B720" s="29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 ht="15.75" customHeight="1">
      <c r="A721" s="28"/>
      <c r="B721" s="29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 ht="15.75" customHeight="1">
      <c r="A722" s="28"/>
      <c r="B722" s="29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 ht="15.75" customHeight="1">
      <c r="A723" s="28"/>
      <c r="B723" s="29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 ht="15.75" customHeight="1">
      <c r="A724" s="28"/>
      <c r="B724" s="29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 ht="15.75" customHeight="1">
      <c r="A725" s="28"/>
      <c r="B725" s="29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 ht="15.75" customHeight="1">
      <c r="A726" s="28"/>
      <c r="B726" s="29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 ht="15.75" customHeight="1">
      <c r="A727" s="28"/>
      <c r="B727" s="29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 ht="15.75" customHeight="1">
      <c r="A728" s="28"/>
      <c r="B728" s="29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 ht="15.75" customHeight="1">
      <c r="A729" s="28"/>
      <c r="B729" s="29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 ht="15.75" customHeight="1">
      <c r="A730" s="28"/>
      <c r="B730" s="29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 ht="15.75" customHeight="1">
      <c r="A731" s="28"/>
      <c r="B731" s="29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 ht="15.75" customHeight="1">
      <c r="A732" s="28"/>
      <c r="B732" s="29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 ht="15.75" customHeight="1">
      <c r="A733" s="28"/>
      <c r="B733" s="29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 ht="15.75" customHeight="1">
      <c r="A734" s="28"/>
      <c r="B734" s="29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 ht="15.75" customHeight="1">
      <c r="A735" s="28"/>
      <c r="B735" s="29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 ht="15.75" customHeight="1">
      <c r="A736" s="28"/>
      <c r="B736" s="29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 ht="15.75" customHeight="1">
      <c r="A737" s="28"/>
      <c r="B737" s="29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 ht="15.75" customHeight="1">
      <c r="A738" s="28"/>
      <c r="B738" s="29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 ht="15.75" customHeight="1">
      <c r="A739" s="28"/>
      <c r="B739" s="29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 ht="15.75" customHeight="1">
      <c r="A740" s="28"/>
      <c r="B740" s="29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 ht="15.75" customHeight="1">
      <c r="A741" s="28"/>
      <c r="B741" s="29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 ht="15.75" customHeight="1">
      <c r="A742" s="28"/>
      <c r="B742" s="29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 ht="15.75" customHeight="1">
      <c r="A743" s="28"/>
      <c r="B743" s="29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 ht="15.75" customHeight="1">
      <c r="A744" s="28"/>
      <c r="B744" s="29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 ht="15.75" customHeight="1">
      <c r="A745" s="28"/>
      <c r="B745" s="29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ht="15.75" customHeight="1">
      <c r="A746" s="28"/>
      <c r="B746" s="29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 ht="15.75" customHeight="1">
      <c r="A747" s="28"/>
      <c r="B747" s="29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 ht="15.75" customHeight="1">
      <c r="A748" s="28"/>
      <c r="B748" s="29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 ht="15.75" customHeight="1">
      <c r="A749" s="28"/>
      <c r="B749" s="29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 ht="15.75" customHeight="1">
      <c r="A750" s="28"/>
      <c r="B750" s="29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 ht="15.75" customHeight="1">
      <c r="A751" s="28"/>
      <c r="B751" s="29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 ht="15.75" customHeight="1">
      <c r="A752" s="28"/>
      <c r="B752" s="29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 ht="15.75" customHeight="1">
      <c r="A753" s="28"/>
      <c r="B753" s="29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 ht="15.75" customHeight="1">
      <c r="A754" s="28"/>
      <c r="B754" s="29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 ht="15.75" customHeight="1">
      <c r="A755" s="28"/>
      <c r="B755" s="29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 ht="15.75" customHeight="1">
      <c r="A756" s="28"/>
      <c r="B756" s="29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 ht="15.75" customHeight="1">
      <c r="A757" s="28"/>
      <c r="B757" s="29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 ht="15.75" customHeight="1">
      <c r="A758" s="28"/>
      <c r="B758" s="29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 ht="15.75" customHeight="1">
      <c r="A759" s="28"/>
      <c r="B759" s="29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 ht="15.75" customHeight="1">
      <c r="A760" s="28"/>
      <c r="B760" s="29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 ht="15.75" customHeight="1">
      <c r="A761" s="28"/>
      <c r="B761" s="29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 ht="15.75" customHeight="1">
      <c r="A762" s="28"/>
      <c r="B762" s="29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 ht="15.75" customHeight="1">
      <c r="A763" s="28"/>
      <c r="B763" s="29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 ht="15.75" customHeight="1">
      <c r="A764" s="28"/>
      <c r="B764" s="29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 ht="15.75" customHeight="1">
      <c r="A765" s="28"/>
      <c r="B765" s="29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 ht="15.75" customHeight="1">
      <c r="A766" s="28"/>
      <c r="B766" s="29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 ht="15.75" customHeight="1">
      <c r="A767" s="28"/>
      <c r="B767" s="29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 ht="15.75" customHeight="1">
      <c r="A768" s="28"/>
      <c r="B768" s="29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 ht="15.75" customHeight="1">
      <c r="A769" s="28"/>
      <c r="B769" s="29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 ht="15.75" customHeight="1">
      <c r="A770" s="28"/>
      <c r="B770" s="29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 ht="15.75" customHeight="1">
      <c r="A771" s="28"/>
      <c r="B771" s="29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 ht="15.75" customHeight="1">
      <c r="A772" s="28"/>
      <c r="B772" s="29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 ht="15.75" customHeight="1">
      <c r="A773" s="28"/>
      <c r="B773" s="29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 ht="15.75" customHeight="1">
      <c r="A774" s="28"/>
      <c r="B774" s="29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 ht="15.75" customHeight="1">
      <c r="A775" s="28"/>
      <c r="B775" s="29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 ht="15.75" customHeight="1">
      <c r="A776" s="28"/>
      <c r="B776" s="29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 ht="15.75" customHeight="1">
      <c r="A777" s="28"/>
      <c r="B777" s="29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 ht="15.75" customHeight="1">
      <c r="A778" s="28"/>
      <c r="B778" s="29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 ht="15.75" customHeight="1">
      <c r="A779" s="28"/>
      <c r="B779" s="29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 ht="15.75" customHeight="1">
      <c r="A780" s="28"/>
      <c r="B780" s="29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 ht="15.75" customHeight="1">
      <c r="A781" s="28"/>
      <c r="B781" s="29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 ht="15.75" customHeight="1">
      <c r="A782" s="28"/>
      <c r="B782" s="29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 ht="15.75" customHeight="1">
      <c r="A783" s="28"/>
      <c r="B783" s="29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 ht="15.75" customHeight="1">
      <c r="A784" s="28"/>
      <c r="B784" s="29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 ht="15.75" customHeight="1">
      <c r="A785" s="28"/>
      <c r="B785" s="29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 ht="15.75" customHeight="1">
      <c r="A786" s="28"/>
      <c r="B786" s="29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 ht="15.75" customHeight="1">
      <c r="A787" s="28"/>
      <c r="B787" s="29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 ht="15.75" customHeight="1">
      <c r="A788" s="28"/>
      <c r="B788" s="29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 ht="15.75" customHeight="1">
      <c r="A789" s="28"/>
      <c r="B789" s="29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ht="15.75" customHeight="1">
      <c r="A790" s="28"/>
      <c r="B790" s="29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 ht="15.75" customHeight="1">
      <c r="A791" s="28"/>
      <c r="B791" s="29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 ht="15.75" customHeight="1">
      <c r="A792" s="28"/>
      <c r="B792" s="29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 ht="15.75" customHeight="1">
      <c r="A793" s="28"/>
      <c r="B793" s="29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 ht="15.75" customHeight="1">
      <c r="A794" s="28"/>
      <c r="B794" s="29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 ht="15.75" customHeight="1">
      <c r="A795" s="28"/>
      <c r="B795" s="29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 ht="15.75" customHeight="1">
      <c r="A796" s="28"/>
      <c r="B796" s="29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 ht="15.75" customHeight="1">
      <c r="A797" s="28"/>
      <c r="B797" s="29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 ht="15.75" customHeight="1">
      <c r="A798" s="28"/>
      <c r="B798" s="29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 ht="15.75" customHeight="1">
      <c r="A799" s="28"/>
      <c r="B799" s="29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 ht="15.75" customHeight="1">
      <c r="A800" s="28"/>
      <c r="B800" s="29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 ht="15.75" customHeight="1">
      <c r="A801" s="28"/>
      <c r="B801" s="29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 ht="15.75" customHeight="1">
      <c r="A802" s="28"/>
      <c r="B802" s="29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 ht="15.75" customHeight="1">
      <c r="A803" s="28"/>
      <c r="B803" s="29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 ht="15.75" customHeight="1">
      <c r="A804" s="28"/>
      <c r="B804" s="29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 ht="15.75" customHeight="1">
      <c r="A805" s="28"/>
      <c r="B805" s="29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 ht="15.75" customHeight="1">
      <c r="A806" s="28"/>
      <c r="B806" s="29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 ht="15.75" customHeight="1">
      <c r="A807" s="28"/>
      <c r="B807" s="29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 ht="15.75" customHeight="1">
      <c r="A808" s="28"/>
      <c r="B808" s="29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 ht="15.75" customHeight="1">
      <c r="A809" s="28"/>
      <c r="B809" s="29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 ht="15.75" customHeight="1">
      <c r="A810" s="28"/>
      <c r="B810" s="29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 ht="15.75" customHeight="1">
      <c r="A811" s="28"/>
      <c r="B811" s="29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 ht="15.75" customHeight="1">
      <c r="A812" s="28"/>
      <c r="B812" s="29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 ht="15.75" customHeight="1">
      <c r="A813" s="28"/>
      <c r="B813" s="29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 ht="15.75" customHeight="1">
      <c r="A814" s="28"/>
      <c r="B814" s="29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 ht="15.75" customHeight="1">
      <c r="A815" s="28"/>
      <c r="B815" s="29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 ht="15.75" customHeight="1">
      <c r="A816" s="28"/>
      <c r="B816" s="29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 ht="15.75" customHeight="1">
      <c r="A817" s="28"/>
      <c r="B817" s="29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 ht="15.75" customHeight="1">
      <c r="A818" s="28"/>
      <c r="B818" s="29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 ht="15.75" customHeight="1">
      <c r="A819" s="28"/>
      <c r="B819" s="29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 ht="15.75" customHeight="1">
      <c r="A820" s="28"/>
      <c r="B820" s="29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 ht="15.75" customHeight="1">
      <c r="A821" s="28"/>
      <c r="B821" s="29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 ht="15.75" customHeight="1">
      <c r="A822" s="28"/>
      <c r="B822" s="29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 ht="15.75" customHeight="1">
      <c r="A823" s="28"/>
      <c r="B823" s="29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 ht="15.75" customHeight="1">
      <c r="A824" s="28"/>
      <c r="B824" s="29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 ht="15.75" customHeight="1">
      <c r="A825" s="28"/>
      <c r="B825" s="29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 ht="15.75" customHeight="1">
      <c r="A826" s="28"/>
      <c r="B826" s="29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 ht="15.75" customHeight="1">
      <c r="A827" s="28"/>
      <c r="B827" s="29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 ht="15.75" customHeight="1">
      <c r="A828" s="28"/>
      <c r="B828" s="29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 ht="15.75" customHeight="1">
      <c r="A829" s="28"/>
      <c r="B829" s="29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 ht="15.75" customHeight="1">
      <c r="A830" s="28"/>
      <c r="B830" s="29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 ht="15.75" customHeight="1">
      <c r="A831" s="28"/>
      <c r="B831" s="29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 ht="15.75" customHeight="1">
      <c r="A832" s="28"/>
      <c r="B832" s="29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 ht="15.75" customHeight="1">
      <c r="A833" s="28"/>
      <c r="B833" s="29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ht="15.75" customHeight="1">
      <c r="A834" s="28"/>
      <c r="B834" s="29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 ht="15.75" customHeight="1">
      <c r="A835" s="28"/>
      <c r="B835" s="29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 ht="15.75" customHeight="1">
      <c r="A836" s="28"/>
      <c r="B836" s="29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 ht="15.75" customHeight="1">
      <c r="A837" s="28"/>
      <c r="B837" s="29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 ht="15.75" customHeight="1">
      <c r="A838" s="28"/>
      <c r="B838" s="29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 ht="15.75" customHeight="1">
      <c r="A839" s="28"/>
      <c r="B839" s="29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 ht="15.75" customHeight="1">
      <c r="A840" s="28"/>
      <c r="B840" s="29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 ht="15.75" customHeight="1">
      <c r="A841" s="28"/>
      <c r="B841" s="29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 ht="15.75" customHeight="1">
      <c r="A842" s="28"/>
      <c r="B842" s="29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 ht="15.75" customHeight="1">
      <c r="A843" s="28"/>
      <c r="B843" s="29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 ht="15.75" customHeight="1">
      <c r="A844" s="28"/>
      <c r="B844" s="29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 ht="15.75" customHeight="1">
      <c r="A845" s="28"/>
      <c r="B845" s="29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 ht="15.75" customHeight="1">
      <c r="A846" s="28"/>
      <c r="B846" s="29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 ht="15.75" customHeight="1">
      <c r="A847" s="28"/>
      <c r="B847" s="29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 ht="15.75" customHeight="1">
      <c r="A848" s="28"/>
      <c r="B848" s="29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 ht="15.75" customHeight="1">
      <c r="A849" s="28"/>
      <c r="B849" s="29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 ht="15.75" customHeight="1">
      <c r="A850" s="28"/>
      <c r="B850" s="29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 ht="15.75" customHeight="1">
      <c r="A851" s="28"/>
      <c r="B851" s="29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 ht="15.75" customHeight="1">
      <c r="A852" s="28"/>
      <c r="B852" s="29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 ht="15.75" customHeight="1">
      <c r="A853" s="28"/>
      <c r="B853" s="29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 ht="15.75" customHeight="1">
      <c r="A854" s="28"/>
      <c r="B854" s="29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 ht="15.75" customHeight="1">
      <c r="A855" s="28"/>
      <c r="B855" s="29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 ht="15.75" customHeight="1">
      <c r="A856" s="28"/>
      <c r="B856" s="29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 ht="15.75" customHeight="1">
      <c r="A857" s="28"/>
      <c r="B857" s="29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 ht="15.75" customHeight="1">
      <c r="A858" s="28"/>
      <c r="B858" s="29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 ht="15.75" customHeight="1">
      <c r="A859" s="28"/>
      <c r="B859" s="29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 ht="15.75" customHeight="1">
      <c r="A860" s="28"/>
      <c r="B860" s="29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 ht="15.75" customHeight="1">
      <c r="A861" s="28"/>
      <c r="B861" s="29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 ht="15.75" customHeight="1">
      <c r="A862" s="28"/>
      <c r="B862" s="29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 ht="15.75" customHeight="1">
      <c r="A863" s="28"/>
      <c r="B863" s="29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 ht="15.75" customHeight="1">
      <c r="A864" s="28"/>
      <c r="B864" s="29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 ht="15.75" customHeight="1">
      <c r="A865" s="28"/>
      <c r="B865" s="29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 ht="15.75" customHeight="1">
      <c r="A866" s="28"/>
      <c r="B866" s="29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 ht="15.75" customHeight="1">
      <c r="A867" s="28"/>
      <c r="B867" s="29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 ht="15.75" customHeight="1">
      <c r="A868" s="28"/>
      <c r="B868" s="29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 ht="15.75" customHeight="1">
      <c r="A869" s="28"/>
      <c r="B869" s="29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 ht="15.75" customHeight="1">
      <c r="A870" s="28"/>
      <c r="B870" s="29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 ht="15.75" customHeight="1">
      <c r="A871" s="28"/>
      <c r="B871" s="29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 ht="15.75" customHeight="1">
      <c r="A872" s="28"/>
      <c r="B872" s="29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 ht="15.75" customHeight="1">
      <c r="A873" s="28"/>
      <c r="B873" s="29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 ht="15.75" customHeight="1">
      <c r="A874" s="28"/>
      <c r="B874" s="29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 ht="15.75" customHeight="1">
      <c r="A875" s="28"/>
      <c r="B875" s="29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ht="15.75" customHeight="1">
      <c r="A876" s="28"/>
      <c r="B876" s="29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 ht="15.75" customHeight="1">
      <c r="A877" s="28"/>
      <c r="B877" s="29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 ht="15.75" customHeight="1">
      <c r="A878" s="28"/>
      <c r="B878" s="29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 ht="15.75" customHeight="1">
      <c r="A879" s="28"/>
      <c r="B879" s="29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 ht="15.75" customHeight="1">
      <c r="A880" s="28"/>
      <c r="B880" s="29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 ht="15.75" customHeight="1">
      <c r="A881" s="28"/>
      <c r="B881" s="29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 ht="15.75" customHeight="1">
      <c r="A882" s="28"/>
      <c r="B882" s="29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 ht="15.75" customHeight="1">
      <c r="A883" s="28"/>
      <c r="B883" s="29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 ht="15.75" customHeight="1">
      <c r="A884" s="28"/>
      <c r="B884" s="29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 ht="15.75" customHeight="1">
      <c r="A885" s="28"/>
      <c r="B885" s="29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 ht="15.75" customHeight="1">
      <c r="A886" s="28"/>
      <c r="B886" s="29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 ht="15.75" customHeight="1">
      <c r="A887" s="28"/>
      <c r="B887" s="29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 ht="15.75" customHeight="1">
      <c r="A888" s="28"/>
      <c r="B888" s="29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 ht="15.75" customHeight="1">
      <c r="A889" s="28"/>
      <c r="B889" s="29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 ht="15.75" customHeight="1">
      <c r="A890" s="28"/>
      <c r="B890" s="29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 ht="15.75" customHeight="1">
      <c r="A891" s="28"/>
      <c r="B891" s="29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 ht="15.75" customHeight="1">
      <c r="A892" s="28"/>
      <c r="B892" s="29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 ht="15.75" customHeight="1">
      <c r="A893" s="28"/>
      <c r="B893" s="29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 ht="15.75" customHeight="1">
      <c r="A894" s="28"/>
      <c r="B894" s="29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 ht="15.75" customHeight="1">
      <c r="A895" s="28"/>
      <c r="B895" s="29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 ht="15.75" customHeight="1">
      <c r="A896" s="28"/>
      <c r="B896" s="29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 ht="15.75" customHeight="1">
      <c r="A897" s="28"/>
      <c r="B897" s="29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 ht="15.75" customHeight="1">
      <c r="A898" s="28"/>
      <c r="B898" s="29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 ht="15.75" customHeight="1">
      <c r="A899" s="28"/>
      <c r="B899" s="29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 ht="15.75" customHeight="1">
      <c r="A900" s="28"/>
      <c r="B900" s="29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 ht="15.75" customHeight="1">
      <c r="A901" s="28"/>
      <c r="B901" s="29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 ht="15.75" customHeight="1">
      <c r="A902" s="28"/>
      <c r="B902" s="29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 ht="15.75" customHeight="1">
      <c r="A903" s="28"/>
      <c r="B903" s="29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 ht="15.75" customHeight="1">
      <c r="A904" s="28"/>
      <c r="B904" s="29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 ht="15.75" customHeight="1">
      <c r="A905" s="28"/>
      <c r="B905" s="29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 ht="15.75" customHeight="1">
      <c r="A906" s="28"/>
      <c r="B906" s="29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 ht="15.75" customHeight="1">
      <c r="A907" s="28"/>
      <c r="B907" s="29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 ht="15.75" customHeight="1">
      <c r="A908" s="28"/>
      <c r="B908" s="29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 ht="15.75" customHeight="1">
      <c r="A909" s="28"/>
      <c r="B909" s="29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 ht="15.75" customHeight="1">
      <c r="A910" s="28"/>
      <c r="B910" s="29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 ht="15.75" customHeight="1">
      <c r="A911" s="28"/>
      <c r="B911" s="29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 ht="15.75" customHeight="1">
      <c r="A912" s="28"/>
      <c r="B912" s="29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 ht="15.75" customHeight="1">
      <c r="A913" s="28"/>
      <c r="B913" s="29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 ht="15.75" customHeight="1">
      <c r="A914" s="28"/>
      <c r="B914" s="29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 ht="15.75" customHeight="1">
      <c r="A915" s="28"/>
      <c r="B915" s="29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 ht="15.75" customHeight="1">
      <c r="A916" s="28"/>
      <c r="B916" s="29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 ht="15.75" customHeight="1">
      <c r="A917" s="28"/>
      <c r="B917" s="29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 ht="15.75" customHeight="1">
      <c r="A918" s="28"/>
      <c r="B918" s="29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 ht="15.75" customHeight="1">
      <c r="A919" s="28"/>
      <c r="B919" s="29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 ht="15.75" customHeight="1">
      <c r="A920" s="28"/>
      <c r="B920" s="29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 ht="15.75" customHeight="1">
      <c r="A921" s="28"/>
      <c r="B921" s="29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 ht="15.75" customHeight="1">
      <c r="A922" s="28"/>
      <c r="B922" s="29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 ht="15.75" customHeight="1">
      <c r="A923" s="28"/>
      <c r="B923" s="29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 ht="15.75" customHeight="1">
      <c r="A924" s="28"/>
      <c r="B924" s="29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 ht="15.75" customHeight="1">
      <c r="A925" s="28"/>
      <c r="B925" s="29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 ht="15.75" customHeight="1">
      <c r="A926" s="28"/>
      <c r="B926" s="29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 ht="15.75" customHeight="1">
      <c r="A927" s="28"/>
      <c r="B927" s="29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 ht="15.75" customHeight="1">
      <c r="A928" s="28"/>
      <c r="B928" s="29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 ht="15.75" customHeight="1">
      <c r="A929" s="28"/>
      <c r="B929" s="29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 ht="15.75" customHeight="1">
      <c r="A930" s="28"/>
      <c r="B930" s="29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 ht="15.75" customHeight="1">
      <c r="A931" s="28"/>
      <c r="B931" s="29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 ht="15.75" customHeight="1">
      <c r="A932" s="28"/>
      <c r="B932" s="29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 ht="15.75" customHeight="1">
      <c r="A933" s="28"/>
      <c r="B933" s="29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 ht="15.75" customHeight="1">
      <c r="A934" s="28"/>
      <c r="B934" s="29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 ht="15.75" customHeight="1">
      <c r="A935" s="28"/>
      <c r="B935" s="29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 ht="15.75" customHeight="1">
      <c r="A936" s="28"/>
      <c r="B936" s="29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 ht="15.75" customHeight="1">
      <c r="A937" s="28"/>
      <c r="B937" s="29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 ht="15.75" customHeight="1">
      <c r="A938" s="28"/>
      <c r="B938" s="29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 ht="15.75" customHeight="1">
      <c r="A939" s="28"/>
      <c r="B939" s="29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 ht="15.75" customHeight="1">
      <c r="A940" s="28"/>
      <c r="B940" s="29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 ht="15.75" customHeight="1">
      <c r="A941" s="28"/>
      <c r="B941" s="29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 ht="15.75" customHeight="1">
      <c r="A942" s="28"/>
      <c r="B942" s="29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 ht="15.75" customHeight="1">
      <c r="A943" s="28"/>
      <c r="B943" s="29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 ht="15.75" customHeight="1">
      <c r="A944" s="28"/>
      <c r="B944" s="29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 ht="15.75" customHeight="1">
      <c r="A945" s="28"/>
      <c r="B945" s="29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 ht="15.75" customHeight="1">
      <c r="A946" s="28"/>
      <c r="B946" s="29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 ht="15.75" customHeight="1">
      <c r="A947" s="28"/>
      <c r="B947" s="29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 ht="15.75" customHeight="1">
      <c r="A948" s="28"/>
      <c r="B948" s="29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 ht="15.75" customHeight="1">
      <c r="A949" s="28"/>
      <c r="B949" s="29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 ht="15.75" customHeight="1">
      <c r="A950" s="28"/>
      <c r="B950" s="29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 ht="15.75" customHeight="1">
      <c r="A951" s="28"/>
      <c r="B951" s="29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 ht="15.75" customHeight="1">
      <c r="A952" s="28"/>
      <c r="B952" s="29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 ht="15.75" customHeight="1">
      <c r="A953" s="28"/>
      <c r="B953" s="29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 ht="15.75" customHeight="1">
      <c r="A954" s="28"/>
      <c r="B954" s="29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 ht="15.75" customHeight="1">
      <c r="A955" s="28"/>
      <c r="B955" s="29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 ht="15.75" customHeight="1">
      <c r="A956" s="28"/>
      <c r="B956" s="29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 ht="15.75" customHeight="1">
      <c r="A957" s="28"/>
      <c r="B957" s="29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 ht="15.75" customHeight="1">
      <c r="A958" s="28"/>
      <c r="B958" s="29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 ht="15.75" customHeight="1">
      <c r="A959" s="28"/>
      <c r="B959" s="29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 ht="15.75" customHeight="1">
      <c r="A960" s="28"/>
      <c r="B960" s="29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 ht="15.75" customHeight="1">
      <c r="A961" s="28"/>
      <c r="B961" s="29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 ht="15.75" customHeight="1">
      <c r="A962" s="28"/>
      <c r="B962" s="29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 ht="15.75" customHeight="1">
      <c r="A963" s="28"/>
      <c r="B963" s="29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 ht="15.75" customHeight="1">
      <c r="A964" s="28"/>
      <c r="B964" s="29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 ht="15.75" customHeight="1">
      <c r="A965" s="28"/>
      <c r="B965" s="29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 ht="15.75" customHeight="1">
      <c r="A966" s="28"/>
      <c r="B966" s="29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 ht="15.75" customHeight="1">
      <c r="A967" s="28"/>
      <c r="B967" s="29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 ht="15.75" customHeight="1">
      <c r="A968" s="28"/>
      <c r="B968" s="29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 ht="15.75" customHeight="1">
      <c r="A969" s="28"/>
      <c r="B969" s="29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 ht="15.75" customHeight="1">
      <c r="A970" s="28"/>
      <c r="B970" s="29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 ht="15.75" customHeight="1">
      <c r="A971" s="28"/>
      <c r="B971" s="29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 ht="15.75" customHeight="1">
      <c r="A972" s="28"/>
      <c r="B972" s="29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 ht="15.75" customHeight="1">
      <c r="A973" s="28"/>
      <c r="B973" s="29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 ht="15.75" customHeight="1">
      <c r="A974" s="28"/>
      <c r="B974" s="29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 ht="15.75" customHeight="1">
      <c r="A975" s="28"/>
      <c r="B975" s="29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 ht="15.75" customHeight="1">
      <c r="A976" s="28"/>
      <c r="B976" s="29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 ht="15.75" customHeight="1">
      <c r="A977" s="28"/>
      <c r="B977" s="29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 ht="15.75" customHeight="1">
      <c r="A978" s="28"/>
      <c r="B978" s="29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 ht="15.75" customHeight="1">
      <c r="A979" s="28"/>
      <c r="B979" s="29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 ht="15.75" customHeight="1">
      <c r="A980" s="28"/>
      <c r="B980" s="29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 ht="15.75" customHeight="1">
      <c r="A981" s="28"/>
      <c r="B981" s="29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 ht="15.75" customHeight="1">
      <c r="A982" s="28"/>
      <c r="B982" s="29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 ht="15.75" customHeight="1">
      <c r="A983" s="28"/>
      <c r="B983" s="29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 ht="15.75" customHeight="1">
      <c r="A984" s="28"/>
      <c r="B984" s="29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 ht="15.75" customHeight="1">
      <c r="A985" s="28"/>
      <c r="B985" s="29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 ht="15.75" customHeight="1">
      <c r="A986" s="28"/>
      <c r="B986" s="29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 ht="15.75" customHeight="1">
      <c r="A987" s="28"/>
      <c r="B987" s="29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 ht="15.75" customHeight="1">
      <c r="A988" s="28"/>
      <c r="B988" s="29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 ht="15.75" customHeight="1">
      <c r="A989" s="28"/>
      <c r="B989" s="29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 ht="15.75" customHeight="1">
      <c r="A990" s="28"/>
      <c r="B990" s="29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 ht="15.75" customHeight="1">
      <c r="A991" s="28"/>
      <c r="B991" s="29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 ht="15.75" customHeight="1">
      <c r="A992" s="28"/>
      <c r="B992" s="29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 ht="15.75" customHeight="1">
      <c r="A993" s="28"/>
      <c r="B993" s="29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 ht="15.75" customHeight="1">
      <c r="A994" s="28"/>
      <c r="B994" s="29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 ht="15.75" customHeight="1">
      <c r="A995" s="28"/>
      <c r="B995" s="29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 ht="15.75" customHeight="1">
      <c r="A996" s="28"/>
      <c r="B996" s="29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 ht="15.75" customHeight="1">
      <c r="A997" s="28"/>
      <c r="B997" s="29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 ht="15.75" customHeight="1">
      <c r="A998" s="28"/>
      <c r="B998" s="29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</sheetData>
  <mergeCells count="6">
    <mergeCell ref="A1:J1"/>
    <mergeCell ref="A2:J2"/>
    <mergeCell ref="A3:J3"/>
    <mergeCell ref="A4:A5"/>
    <mergeCell ref="B4:B5"/>
    <mergeCell ref="C4:J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</cols>
  <sheetData>
    <row r="1">
      <c r="A1" s="30" t="s">
        <v>3</v>
      </c>
      <c r="B1" s="31" t="s">
        <v>31</v>
      </c>
      <c r="C1" s="32" t="str">
        <f>'5s'!B6</f>
        <v>SUBORNA AKTER JUI</v>
      </c>
      <c r="D1" s="23"/>
      <c r="E1" s="23"/>
      <c r="F1" s="23"/>
      <c r="G1" s="23"/>
      <c r="H1" s="24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34">
        <v>1.0</v>
      </c>
      <c r="B2" s="35" t="s">
        <v>32</v>
      </c>
      <c r="C2" s="36" t="s">
        <v>33</v>
      </c>
      <c r="D2" s="36" t="s">
        <v>34</v>
      </c>
      <c r="E2" s="35" t="s">
        <v>35</v>
      </c>
      <c r="F2" s="36" t="s">
        <v>36</v>
      </c>
      <c r="G2" s="36" t="s">
        <v>37</v>
      </c>
      <c r="H2" s="36" t="s">
        <v>38</v>
      </c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>
      <c r="B3" s="37" t="s">
        <v>6</v>
      </c>
      <c r="C3" s="37">
        <f>'5t'!C6</f>
        <v>30</v>
      </c>
      <c r="D3" s="38">
        <f>'5s'!C6</f>
        <v>69</v>
      </c>
      <c r="E3" s="38">
        <f t="shared" ref="E3:E8" si="1">SUM(C3:D3)</f>
        <v>99</v>
      </c>
      <c r="F3" s="39" t="str">
        <f t="shared" ref="F3:F8" si="2">IF(E3&gt;=80,"A+",
IF(E3&gt;=70,"A",
IF(E3&gt;=60,"A-",
IF(E3&gt;=50,"B",
IF(E3&gt;=40,"C",
IF(E3&gt;=33,"D","F"))))))
</f>
        <v>A+</v>
      </c>
      <c r="G3" s="38">
        <f t="shared" ref="G3:G8" si="3">IF(E3&gt;=80,5,
IF(E3&gt;=70,4,
IF(E3&gt;=60,3.5,
IF(E3&gt;=50,3,
IF(E3&gt;=40,2,
IF(E3&gt;=33,1,0))))))</f>
        <v>5</v>
      </c>
      <c r="H3" s="40">
        <f>AVERAGE(
VALUE(G3),
VALUE(G4),
VALUE(G5),
VALUE(G6),
VALUE(G7),
VALUE(G8))</f>
        <v>5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>
      <c r="B4" s="37" t="s">
        <v>39</v>
      </c>
      <c r="C4" s="37">
        <f>'5t'!D7</f>
        <v>30</v>
      </c>
      <c r="D4" s="38">
        <f>'5s'!D6</f>
        <v>70</v>
      </c>
      <c r="E4" s="38">
        <f t="shared" si="1"/>
        <v>100</v>
      </c>
      <c r="F4" s="39" t="str">
        <f t="shared" si="2"/>
        <v>A+</v>
      </c>
      <c r="G4" s="38">
        <f t="shared" si="3"/>
        <v>5</v>
      </c>
      <c r="H4" s="41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>
      <c r="B5" s="38" t="s">
        <v>40</v>
      </c>
      <c r="C5" s="37">
        <f>'5t'!E6</f>
        <v>21</v>
      </c>
      <c r="D5" s="38">
        <f>'5s'!E6</f>
        <v>61</v>
      </c>
      <c r="E5" s="38">
        <f t="shared" si="1"/>
        <v>82</v>
      </c>
      <c r="F5" s="39" t="str">
        <f t="shared" si="2"/>
        <v>A+</v>
      </c>
      <c r="G5" s="38">
        <f t="shared" si="3"/>
        <v>5</v>
      </c>
      <c r="H5" s="41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>
      <c r="B6" s="38" t="s">
        <v>41</v>
      </c>
      <c r="C6" s="38">
        <f>'5t'!F6</f>
        <v>30</v>
      </c>
      <c r="D6" s="38">
        <f>'5s'!F6</f>
        <v>65</v>
      </c>
      <c r="E6" s="38">
        <f t="shared" si="1"/>
        <v>95</v>
      </c>
      <c r="F6" s="39" t="str">
        <f t="shared" si="2"/>
        <v>A+</v>
      </c>
      <c r="G6" s="38">
        <f t="shared" si="3"/>
        <v>5</v>
      </c>
      <c r="H6" s="41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B7" s="38" t="s">
        <v>10</v>
      </c>
      <c r="C7" s="38">
        <f>'5t'!G6</f>
        <v>30</v>
      </c>
      <c r="D7" s="38">
        <f>'5s'!G6</f>
        <v>65</v>
      </c>
      <c r="E7" s="38">
        <f t="shared" si="1"/>
        <v>95</v>
      </c>
      <c r="F7" s="39" t="str">
        <f t="shared" si="2"/>
        <v>A+</v>
      </c>
      <c r="G7" s="38">
        <f t="shared" si="3"/>
        <v>5</v>
      </c>
      <c r="H7" s="41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B8" s="38" t="s">
        <v>11</v>
      </c>
      <c r="C8" s="38">
        <f>'5t'!H6</f>
        <v>30</v>
      </c>
      <c r="D8" s="38">
        <f>'5s'!H6</f>
        <v>70</v>
      </c>
      <c r="E8" s="38">
        <f t="shared" si="1"/>
        <v>100</v>
      </c>
      <c r="F8" s="39" t="str">
        <f t="shared" si="2"/>
        <v>A+</v>
      </c>
      <c r="G8" s="38">
        <f t="shared" si="3"/>
        <v>5</v>
      </c>
      <c r="H8" s="12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30" t="s">
        <v>3</v>
      </c>
      <c r="B9" s="31" t="s">
        <v>31</v>
      </c>
      <c r="C9" s="32" t="str">
        <f>'5s'!B7</f>
        <v>JANNATUL FERDOUS</v>
      </c>
      <c r="D9" s="23"/>
      <c r="E9" s="23"/>
      <c r="F9" s="23"/>
      <c r="G9" s="23"/>
      <c r="H9" s="24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A10" s="34">
        <v>2.0</v>
      </c>
      <c r="B10" s="35" t="s">
        <v>32</v>
      </c>
      <c r="C10" s="35" t="str">
        <f>'5'!C2</f>
        <v>3rd Tutorial
Exam (30)</v>
      </c>
      <c r="D10" s="35" t="str">
        <f>'5'!D2</f>
        <v>3rd Semester
Exam (70)</v>
      </c>
      <c r="E10" s="35" t="s">
        <v>35</v>
      </c>
      <c r="F10" s="36" t="s">
        <v>36</v>
      </c>
      <c r="G10" s="36" t="s">
        <v>37</v>
      </c>
      <c r="H10" s="36" t="s">
        <v>38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>
      <c r="B11" s="37" t="s">
        <v>6</v>
      </c>
      <c r="C11" s="37">
        <f>'5t'!C7</f>
        <v>30</v>
      </c>
      <c r="D11" s="38">
        <f>'5s'!C7</f>
        <v>66</v>
      </c>
      <c r="E11" s="38">
        <f t="shared" ref="E11:E16" si="4">SUM(C11:D11)</f>
        <v>96</v>
      </c>
      <c r="F11" s="39" t="str">
        <f t="shared" ref="F11:F16" si="5">IF(E11&gt;=80,"A+",
IF(E11&gt;=70,"A",
IF(E11&gt;=60,"A-",
IF(E11&gt;=50,"B",
IF(E11&gt;=40,"C",
IF(E11&gt;=33,"D","F"))))))
</f>
        <v>A+</v>
      </c>
      <c r="G11" s="38">
        <f t="shared" ref="G11:G16" si="6">IF(E11&gt;=80,5,
IF(E11&gt;=70,4,
IF(E11&gt;=60,3.5,
IF(E11&gt;=50,3,
IF(E11&gt;=40,2,
IF(E11&gt;=33,1,0))))))</f>
        <v>5</v>
      </c>
      <c r="H11" s="40">
        <f>AVERAGE(
VALUE(G11),
VALUE(G12),
VALUE(G13),
VALUE(G14),
VALUE(G15),
VALUE(G16))</f>
        <v>5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>
      <c r="B12" s="37" t="s">
        <v>39</v>
      </c>
      <c r="C12" s="37">
        <f>'5t'!D7</f>
        <v>30</v>
      </c>
      <c r="D12" s="38">
        <f>'5s'!D7</f>
        <v>70</v>
      </c>
      <c r="E12" s="38">
        <f t="shared" si="4"/>
        <v>100</v>
      </c>
      <c r="F12" s="39" t="str">
        <f t="shared" si="5"/>
        <v>A+</v>
      </c>
      <c r="G12" s="38">
        <f t="shared" si="6"/>
        <v>5</v>
      </c>
      <c r="H12" s="41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>
      <c r="B13" s="38" t="s">
        <v>40</v>
      </c>
      <c r="C13" s="37">
        <f>'5t'!E7</f>
        <v>20</v>
      </c>
      <c r="D13" s="38">
        <f>'5s'!E7</f>
        <v>61</v>
      </c>
      <c r="E13" s="38">
        <f t="shared" si="4"/>
        <v>81</v>
      </c>
      <c r="F13" s="39" t="str">
        <f t="shared" si="5"/>
        <v>A+</v>
      </c>
      <c r="G13" s="38">
        <f t="shared" si="6"/>
        <v>5</v>
      </c>
      <c r="H13" s="41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>
      <c r="B14" s="38" t="s">
        <v>41</v>
      </c>
      <c r="C14" s="38">
        <f>'5t'!F7</f>
        <v>30</v>
      </c>
      <c r="D14" s="38">
        <f>'5s'!F7</f>
        <v>66</v>
      </c>
      <c r="E14" s="38">
        <f t="shared" si="4"/>
        <v>96</v>
      </c>
      <c r="F14" s="39" t="str">
        <f t="shared" si="5"/>
        <v>A+</v>
      </c>
      <c r="G14" s="38">
        <f t="shared" si="6"/>
        <v>5</v>
      </c>
      <c r="H14" s="41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>
      <c r="B15" s="38" t="s">
        <v>10</v>
      </c>
      <c r="C15" s="38">
        <f>'5t'!G7</f>
        <v>30</v>
      </c>
      <c r="D15" s="38">
        <f>'5s'!G7</f>
        <v>65</v>
      </c>
      <c r="E15" s="38">
        <f t="shared" si="4"/>
        <v>95</v>
      </c>
      <c r="F15" s="39" t="str">
        <f t="shared" si="5"/>
        <v>A+</v>
      </c>
      <c r="G15" s="38">
        <f t="shared" si="6"/>
        <v>5</v>
      </c>
      <c r="H15" s="41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>
      <c r="B16" s="38" t="s">
        <v>11</v>
      </c>
      <c r="C16" s="38">
        <f>'5t'!H7</f>
        <v>30</v>
      </c>
      <c r="D16" s="38">
        <f>'5s'!H7</f>
        <v>70</v>
      </c>
      <c r="E16" s="38">
        <f t="shared" si="4"/>
        <v>100</v>
      </c>
      <c r="F16" s="39" t="str">
        <f t="shared" si="5"/>
        <v>A+</v>
      </c>
      <c r="G16" s="38">
        <f t="shared" si="6"/>
        <v>5</v>
      </c>
      <c r="H16" s="12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>
      <c r="A17" s="30" t="s">
        <v>3</v>
      </c>
      <c r="B17" s="31" t="s">
        <v>31</v>
      </c>
      <c r="C17" s="32" t="str">
        <f>'5s'!B8</f>
        <v>SHAWRIN KHAN SUROVI</v>
      </c>
      <c r="D17" s="23"/>
      <c r="E17" s="23"/>
      <c r="F17" s="23"/>
      <c r="G17" s="23"/>
      <c r="H17" s="24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>
      <c r="A18" s="34">
        <v>3.0</v>
      </c>
      <c r="B18" s="35" t="s">
        <v>32</v>
      </c>
      <c r="C18" s="35" t="str">
        <f>'5'!C2</f>
        <v>3rd Tutorial
Exam (30)</v>
      </c>
      <c r="D18" s="35" t="str">
        <f>'5'!D2</f>
        <v>3rd Semester
Exam (70)</v>
      </c>
      <c r="E18" s="35" t="s">
        <v>35</v>
      </c>
      <c r="F18" s="36" t="s">
        <v>36</v>
      </c>
      <c r="G18" s="36" t="s">
        <v>37</v>
      </c>
      <c r="H18" s="36" t="s">
        <v>38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>
      <c r="B19" s="37" t="s">
        <v>6</v>
      </c>
      <c r="C19" s="37">
        <f>'5t'!C8</f>
        <v>29</v>
      </c>
      <c r="D19" s="38">
        <f>'5s'!C8</f>
        <v>64</v>
      </c>
      <c r="E19" s="38">
        <f t="shared" ref="E19:E24" si="7">SUM(C19:D19)</f>
        <v>93</v>
      </c>
      <c r="F19" s="39" t="str">
        <f t="shared" ref="F19:F24" si="8">IF(E19&gt;=80,"A+",
IF(E19&gt;=70,"A",
IF(E19&gt;=60,"A-",
IF(E19&gt;=50,"B",
IF(E19&gt;=40,"C",
IF(E19&gt;=33,"D","F"))))))
</f>
        <v>A+</v>
      </c>
      <c r="G19" s="38">
        <f t="shared" ref="G19:G24" si="9">IF(E19&gt;=80,5,
IF(E19&gt;=70,4,
IF(E19&gt;=60,3.5,
IF(E19&gt;=50,3,
IF(E19&gt;=40,2,
IF(E19&gt;=33,1,0))))))</f>
        <v>5</v>
      </c>
      <c r="H19" s="40">
        <f>AVERAGE(
VALUE(G19),
VALUE(G20),
VALUE(G21),
VALUE(G22),
VALUE(G23),
VALUE(G24))</f>
        <v>5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>
      <c r="B20" s="37" t="s">
        <v>39</v>
      </c>
      <c r="C20" s="37">
        <f>'5t'!D8</f>
        <v>30</v>
      </c>
      <c r="D20" s="38">
        <f>'5s'!D8</f>
        <v>50</v>
      </c>
      <c r="E20" s="38">
        <f t="shared" si="7"/>
        <v>80</v>
      </c>
      <c r="F20" s="39" t="str">
        <f t="shared" si="8"/>
        <v>A+</v>
      </c>
      <c r="G20" s="38">
        <f t="shared" si="9"/>
        <v>5</v>
      </c>
      <c r="H20" s="41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>
      <c r="B21" s="38" t="s">
        <v>40</v>
      </c>
      <c r="C21" s="37">
        <f>'5t'!E8</f>
        <v>20</v>
      </c>
      <c r="D21" s="38">
        <f>'5s'!E8</f>
        <v>60</v>
      </c>
      <c r="E21" s="38">
        <f t="shared" si="7"/>
        <v>80</v>
      </c>
      <c r="F21" s="39" t="str">
        <f t="shared" si="8"/>
        <v>A+</v>
      </c>
      <c r="G21" s="38">
        <f t="shared" si="9"/>
        <v>5</v>
      </c>
      <c r="H21" s="41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>
      <c r="B22" s="38" t="s">
        <v>41</v>
      </c>
      <c r="C22" s="38">
        <f>'5t'!F8</f>
        <v>28</v>
      </c>
      <c r="D22" s="38">
        <f>'5s'!F8</f>
        <v>59</v>
      </c>
      <c r="E22" s="38">
        <f t="shared" si="7"/>
        <v>87</v>
      </c>
      <c r="F22" s="39" t="str">
        <f t="shared" si="8"/>
        <v>A+</v>
      </c>
      <c r="G22" s="38">
        <f t="shared" si="9"/>
        <v>5</v>
      </c>
      <c r="H22" s="41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>
      <c r="B23" s="38" t="s">
        <v>10</v>
      </c>
      <c r="C23" s="38">
        <f>'5t'!G8</f>
        <v>30</v>
      </c>
      <c r="D23" s="38">
        <f>'5s'!G8</f>
        <v>60</v>
      </c>
      <c r="E23" s="38">
        <f t="shared" si="7"/>
        <v>90</v>
      </c>
      <c r="F23" s="39" t="str">
        <f t="shared" si="8"/>
        <v>A+</v>
      </c>
      <c r="G23" s="38">
        <f t="shared" si="9"/>
        <v>5</v>
      </c>
      <c r="H23" s="41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>
      <c r="B24" s="38" t="s">
        <v>11</v>
      </c>
      <c r="C24" s="38">
        <f>'5t'!H8</f>
        <v>30</v>
      </c>
      <c r="D24" s="38">
        <f>'5s'!H8</f>
        <v>69</v>
      </c>
      <c r="E24" s="38">
        <f t="shared" si="7"/>
        <v>99</v>
      </c>
      <c r="F24" s="39" t="str">
        <f t="shared" si="8"/>
        <v>A+</v>
      </c>
      <c r="G24" s="38">
        <f t="shared" si="9"/>
        <v>5</v>
      </c>
      <c r="H24" s="12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>
      <c r="A25" s="30" t="s">
        <v>3</v>
      </c>
      <c r="B25" s="31" t="s">
        <v>31</v>
      </c>
      <c r="C25" s="42" t="str">
        <f>'5s'!B9</f>
        <v>SAMIUL HAQUE SAIM</v>
      </c>
      <c r="D25" s="23"/>
      <c r="E25" s="23"/>
      <c r="F25" s="23"/>
      <c r="G25" s="23"/>
      <c r="H25" s="24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>
      <c r="A26" s="34">
        <v>4.0</v>
      </c>
      <c r="B26" s="35" t="s">
        <v>32</v>
      </c>
      <c r="C26" s="35" t="str">
        <f>'5'!C2</f>
        <v>3rd Tutorial
Exam (30)</v>
      </c>
      <c r="D26" s="35" t="str">
        <f>'5'!D2</f>
        <v>3rd Semester
Exam (70)</v>
      </c>
      <c r="E26" s="35" t="s">
        <v>35</v>
      </c>
      <c r="F26" s="36" t="s">
        <v>36</v>
      </c>
      <c r="G26" s="35" t="s">
        <v>37</v>
      </c>
      <c r="H26" s="35" t="s">
        <v>38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B27" s="37" t="s">
        <v>6</v>
      </c>
      <c r="C27" s="37">
        <f>'5t'!C9</f>
        <v>30</v>
      </c>
      <c r="D27" s="38">
        <f>'5s'!C9</f>
        <v>69</v>
      </c>
      <c r="E27" s="38">
        <f t="shared" ref="E27:E32" si="10">SUM(C27:D27)</f>
        <v>99</v>
      </c>
      <c r="F27" s="39" t="str">
        <f t="shared" ref="F27:F32" si="11">IF(E27&gt;=80,"A+",
IF(E27&gt;=70,"A",
IF(E27&gt;=60,"A-",
IF(E27&gt;=50,"B",
IF(E27&gt;=40,"C",
IF(E27&gt;=33,"D","F"))))))
</f>
        <v>A+</v>
      </c>
      <c r="G27" s="38">
        <f t="shared" ref="G27:G32" si="12">IF(E27&gt;=80,5,
IF(E27&gt;=70,4,
IF(E27&gt;=60,3.5,
IF(E27&gt;=50,3,
IF(E27&gt;=40,2,
IF(E27&gt;=33,1,0))))))</f>
        <v>5</v>
      </c>
      <c r="H27" s="40">
        <f>AVERAGE(
VALUE(G27),
VALUE(G28),
VALUE(G29),
VALUE(G30),
VALUE(G31),
VALUE(G32))</f>
        <v>5</v>
      </c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B28" s="37" t="s">
        <v>39</v>
      </c>
      <c r="C28" s="37">
        <f>'5t'!D9</f>
        <v>30</v>
      </c>
      <c r="D28" s="38">
        <f>'5s'!D9</f>
        <v>60</v>
      </c>
      <c r="E28" s="38">
        <f t="shared" si="10"/>
        <v>90</v>
      </c>
      <c r="F28" s="39" t="str">
        <f t="shared" si="11"/>
        <v>A+</v>
      </c>
      <c r="G28" s="38">
        <f t="shared" si="12"/>
        <v>5</v>
      </c>
      <c r="H28" s="41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B29" s="38" t="s">
        <v>40</v>
      </c>
      <c r="C29" s="37">
        <f>'5t'!E9</f>
        <v>25</v>
      </c>
      <c r="D29" s="38">
        <f>'5s'!E9</f>
        <v>62</v>
      </c>
      <c r="E29" s="38">
        <f t="shared" si="10"/>
        <v>87</v>
      </c>
      <c r="F29" s="39" t="str">
        <f t="shared" si="11"/>
        <v>A+</v>
      </c>
      <c r="G29" s="38">
        <f t="shared" si="12"/>
        <v>5</v>
      </c>
      <c r="H29" s="41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>
      <c r="B30" s="38" t="s">
        <v>41</v>
      </c>
      <c r="C30" s="38">
        <f>'5t'!F9</f>
        <v>30</v>
      </c>
      <c r="D30" s="38">
        <f>'5s'!F9</f>
        <v>67</v>
      </c>
      <c r="E30" s="38">
        <f t="shared" si="10"/>
        <v>97</v>
      </c>
      <c r="F30" s="39" t="str">
        <f t="shared" si="11"/>
        <v>A+</v>
      </c>
      <c r="G30" s="38">
        <f t="shared" si="12"/>
        <v>5</v>
      </c>
      <c r="H30" s="41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>
      <c r="B31" s="38" t="s">
        <v>10</v>
      </c>
      <c r="C31" s="38">
        <f>'5t'!G9</f>
        <v>30</v>
      </c>
      <c r="D31" s="38">
        <f>'5s'!G9</f>
        <v>64</v>
      </c>
      <c r="E31" s="38">
        <f t="shared" si="10"/>
        <v>94</v>
      </c>
      <c r="F31" s="39" t="str">
        <f t="shared" si="11"/>
        <v>A+</v>
      </c>
      <c r="G31" s="38">
        <f t="shared" si="12"/>
        <v>5</v>
      </c>
      <c r="H31" s="41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>
      <c r="B32" s="38" t="s">
        <v>11</v>
      </c>
      <c r="C32" s="38">
        <f>'5t'!H9</f>
        <v>30</v>
      </c>
      <c r="D32" s="38">
        <f>'5s'!H9</f>
        <v>67</v>
      </c>
      <c r="E32" s="38">
        <f t="shared" si="10"/>
        <v>97</v>
      </c>
      <c r="F32" s="39" t="str">
        <f t="shared" si="11"/>
        <v>A+</v>
      </c>
      <c r="G32" s="38">
        <f t="shared" si="12"/>
        <v>5</v>
      </c>
      <c r="H32" s="12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>
      <c r="A33" s="30" t="s">
        <v>3</v>
      </c>
      <c r="B33" s="31" t="s">
        <v>31</v>
      </c>
      <c r="C33" s="42" t="str">
        <f>'5s'!B10</f>
        <v>BORHAN MIA</v>
      </c>
      <c r="D33" s="23"/>
      <c r="E33" s="23"/>
      <c r="F33" s="23"/>
      <c r="G33" s="23"/>
      <c r="H33" s="24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>
      <c r="A34" s="34">
        <v>5.0</v>
      </c>
      <c r="B34" s="35" t="s">
        <v>32</v>
      </c>
      <c r="C34" s="35" t="str">
        <f>'5'!C2</f>
        <v>3rd Tutorial
Exam (30)</v>
      </c>
      <c r="D34" s="35" t="str">
        <f>'5'!D2</f>
        <v>3rd Semester
Exam (70)</v>
      </c>
      <c r="E34" s="35" t="s">
        <v>35</v>
      </c>
      <c r="F34" s="36" t="s">
        <v>36</v>
      </c>
      <c r="G34" s="35" t="s">
        <v>37</v>
      </c>
      <c r="H34" s="35" t="s">
        <v>38</v>
      </c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>
      <c r="B35" s="37" t="s">
        <v>6</v>
      </c>
      <c r="C35" s="37">
        <f>'5t'!C10</f>
        <v>30</v>
      </c>
      <c r="D35" s="38">
        <f>'5s'!C10</f>
        <v>63</v>
      </c>
      <c r="E35" s="38">
        <f t="shared" ref="E35:E40" si="13">SUM(C35:D35)</f>
        <v>93</v>
      </c>
      <c r="F35" s="39" t="str">
        <f t="shared" ref="F35:F40" si="14">IF(E35&gt;=80,"A+",
IF(E35&gt;=70,"A",
IF(E35&gt;=60,"A-",
IF(E35&gt;=50,"B",
IF(E35&gt;=40,"C",
IF(E35&gt;=33,"D","F"))))))
</f>
        <v>A+</v>
      </c>
      <c r="G35" s="38">
        <f t="shared" ref="G35:G40" si="15">IF(E35&gt;=80,5,
IF(E35&gt;=70,4,
IF(E35&gt;=60,3.5,
IF(E35&gt;=50,3,
IF(E35&gt;=40,2,
IF(E35&gt;=33,1,0))))))</f>
        <v>5</v>
      </c>
      <c r="H35" s="40">
        <f>AVERAGE(
VALUE(G35),
VALUE(G36),
VALUE(G37),
VALUE(G38),
VALUE(G39),
VALUE(G40))</f>
        <v>5</v>
      </c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>
      <c r="B36" s="37" t="s">
        <v>39</v>
      </c>
      <c r="C36" s="37">
        <f>'5t'!D10</f>
        <v>28</v>
      </c>
      <c r="D36" s="38">
        <f>'5s'!D10</f>
        <v>65</v>
      </c>
      <c r="E36" s="38">
        <f t="shared" si="13"/>
        <v>93</v>
      </c>
      <c r="F36" s="39" t="str">
        <f t="shared" si="14"/>
        <v>A+</v>
      </c>
      <c r="G36" s="38">
        <f t="shared" si="15"/>
        <v>5</v>
      </c>
      <c r="H36" s="41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>
      <c r="B37" s="38" t="s">
        <v>40</v>
      </c>
      <c r="C37" s="37">
        <f>'5t'!E10</f>
        <v>20</v>
      </c>
      <c r="D37" s="38">
        <f>'5s'!E10</f>
        <v>62</v>
      </c>
      <c r="E37" s="38">
        <f t="shared" si="13"/>
        <v>82</v>
      </c>
      <c r="F37" s="39" t="str">
        <f t="shared" si="14"/>
        <v>A+</v>
      </c>
      <c r="G37" s="38">
        <f t="shared" si="15"/>
        <v>5</v>
      </c>
      <c r="H37" s="41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>
      <c r="B38" s="38" t="s">
        <v>41</v>
      </c>
      <c r="C38" s="38">
        <f>'5t'!F10</f>
        <v>30</v>
      </c>
      <c r="D38" s="38">
        <f>'5s'!F10</f>
        <v>67</v>
      </c>
      <c r="E38" s="38">
        <f t="shared" si="13"/>
        <v>97</v>
      </c>
      <c r="F38" s="39" t="str">
        <f t="shared" si="14"/>
        <v>A+</v>
      </c>
      <c r="G38" s="38">
        <f t="shared" si="15"/>
        <v>5</v>
      </c>
      <c r="H38" s="41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>
      <c r="B39" s="38" t="s">
        <v>10</v>
      </c>
      <c r="C39" s="38">
        <f>'5t'!G10</f>
        <v>30</v>
      </c>
      <c r="D39" s="38">
        <f>'5s'!G10</f>
        <v>58</v>
      </c>
      <c r="E39" s="38">
        <f t="shared" si="13"/>
        <v>88</v>
      </c>
      <c r="F39" s="39" t="str">
        <f t="shared" si="14"/>
        <v>A+</v>
      </c>
      <c r="G39" s="38">
        <f t="shared" si="15"/>
        <v>5</v>
      </c>
      <c r="H39" s="41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>
      <c r="B40" s="38" t="s">
        <v>11</v>
      </c>
      <c r="C40" s="38">
        <f>'5t'!H10</f>
        <v>30</v>
      </c>
      <c r="D40" s="38">
        <f>'5s'!H10</f>
        <v>70</v>
      </c>
      <c r="E40" s="38">
        <f t="shared" si="13"/>
        <v>100</v>
      </c>
      <c r="F40" s="39" t="str">
        <f t="shared" si="14"/>
        <v>A+</v>
      </c>
      <c r="G40" s="38">
        <f t="shared" si="15"/>
        <v>5</v>
      </c>
      <c r="H40" s="12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>
      <c r="A41" s="30" t="s">
        <v>3</v>
      </c>
      <c r="B41" s="31" t="s">
        <v>31</v>
      </c>
      <c r="C41" s="42" t="str">
        <f>'5s'!B11</f>
        <v>AZMIRA AKTER DINA</v>
      </c>
      <c r="D41" s="23"/>
      <c r="E41" s="23"/>
      <c r="F41" s="23"/>
      <c r="G41" s="23"/>
      <c r="H41" s="24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>
      <c r="A42" s="34">
        <v>6.0</v>
      </c>
      <c r="B42" s="35" t="s">
        <v>32</v>
      </c>
      <c r="C42" s="35" t="str">
        <f>'5'!C2</f>
        <v>3rd Tutorial
Exam (30)</v>
      </c>
      <c r="D42" s="35" t="str">
        <f>'5'!D2</f>
        <v>3rd Semester
Exam (70)</v>
      </c>
      <c r="E42" s="35" t="s">
        <v>35</v>
      </c>
      <c r="F42" s="36" t="s">
        <v>36</v>
      </c>
      <c r="G42" s="35" t="s">
        <v>37</v>
      </c>
      <c r="H42" s="35" t="s">
        <v>38</v>
      </c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>
      <c r="B43" s="37" t="s">
        <v>6</v>
      </c>
      <c r="C43" s="37">
        <f>'5t'!C11</f>
        <v>30</v>
      </c>
      <c r="D43" s="38">
        <f>'5s'!C11</f>
        <v>54</v>
      </c>
      <c r="E43" s="38">
        <f t="shared" ref="E43:E48" si="16">SUM(C43:D43)</f>
        <v>84</v>
      </c>
      <c r="F43" s="39" t="str">
        <f t="shared" ref="F43:F48" si="17">IF(E43&gt;=80,"A+",
IF(E43&gt;=70,"A",
IF(E43&gt;=60,"A-",
IF(E43&gt;=50,"B",
IF(E43&gt;=40,"C",
IF(E43&gt;=33,"D","F"))))))
</f>
        <v>A+</v>
      </c>
      <c r="G43" s="38">
        <f t="shared" ref="G43:G48" si="18">IF(E43&gt;=80,5,
IF(E43&gt;=70,4,
IF(E43&gt;=60,3.5,
IF(E43&gt;=50,3,
IF(E43&gt;=40,2,
IF(E43&gt;=33,1,0))))))</f>
        <v>5</v>
      </c>
      <c r="H43" s="40">
        <f>AVERAGE(
VALUE(G43),
VALUE(G44),
VALUE(G45),
VALUE(G46),
VALUE(G47),
VALUE(G48))</f>
        <v>4.166666667</v>
      </c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>
      <c r="B44" s="37" t="s">
        <v>39</v>
      </c>
      <c r="C44" s="37">
        <f>'5t'!D11</f>
        <v>28</v>
      </c>
      <c r="D44" s="38">
        <f>'5s'!D11</f>
        <v>33</v>
      </c>
      <c r="E44" s="38">
        <f t="shared" si="16"/>
        <v>61</v>
      </c>
      <c r="F44" s="39" t="str">
        <f t="shared" si="17"/>
        <v>A-</v>
      </c>
      <c r="G44" s="38">
        <f t="shared" si="18"/>
        <v>3.5</v>
      </c>
      <c r="H44" s="41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>
      <c r="B45" s="38" t="s">
        <v>40</v>
      </c>
      <c r="C45" s="37">
        <f>'5t'!E11</f>
        <v>15</v>
      </c>
      <c r="D45" s="38">
        <f>'5s'!E11</f>
        <v>45</v>
      </c>
      <c r="E45" s="38">
        <f t="shared" si="16"/>
        <v>60</v>
      </c>
      <c r="F45" s="39" t="str">
        <f t="shared" si="17"/>
        <v>A-</v>
      </c>
      <c r="G45" s="38">
        <f t="shared" si="18"/>
        <v>3.5</v>
      </c>
      <c r="H45" s="41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>
      <c r="B46" s="38" t="s">
        <v>41</v>
      </c>
      <c r="C46" s="38">
        <f>'5t'!F11</f>
        <v>30</v>
      </c>
      <c r="D46" s="38">
        <f>'5s'!F11</f>
        <v>47</v>
      </c>
      <c r="E46" s="38">
        <f t="shared" si="16"/>
        <v>77</v>
      </c>
      <c r="F46" s="39" t="str">
        <f t="shared" si="17"/>
        <v>A</v>
      </c>
      <c r="G46" s="38">
        <f t="shared" si="18"/>
        <v>4</v>
      </c>
      <c r="H46" s="41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>
      <c r="B47" s="38" t="s">
        <v>10</v>
      </c>
      <c r="C47" s="38">
        <f>'5t'!G11</f>
        <v>27</v>
      </c>
      <c r="D47" s="38">
        <f>'5s'!G11</f>
        <v>45</v>
      </c>
      <c r="E47" s="38">
        <f t="shared" si="16"/>
        <v>72</v>
      </c>
      <c r="F47" s="39" t="str">
        <f t="shared" si="17"/>
        <v>A</v>
      </c>
      <c r="G47" s="38">
        <f t="shared" si="18"/>
        <v>4</v>
      </c>
      <c r="H47" s="41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>
      <c r="B48" s="38" t="s">
        <v>11</v>
      </c>
      <c r="C48" s="38">
        <f>'5t'!H11</f>
        <v>30</v>
      </c>
      <c r="D48" s="38">
        <f>'5s'!H11</f>
        <v>67</v>
      </c>
      <c r="E48" s="38">
        <f t="shared" si="16"/>
        <v>97</v>
      </c>
      <c r="F48" s="39" t="str">
        <f t="shared" si="17"/>
        <v>A+</v>
      </c>
      <c r="G48" s="38">
        <f t="shared" si="18"/>
        <v>5</v>
      </c>
      <c r="H48" s="12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>
      <c r="A49" s="30" t="s">
        <v>3</v>
      </c>
      <c r="B49" s="31" t="s">
        <v>31</v>
      </c>
      <c r="C49" s="42" t="str">
        <f>'5s'!B12</f>
        <v>SHAMMI AKTER JUI</v>
      </c>
      <c r="D49" s="23"/>
      <c r="E49" s="23"/>
      <c r="F49" s="23"/>
      <c r="G49" s="23"/>
      <c r="H49" s="24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>
      <c r="A50" s="34">
        <v>7.0</v>
      </c>
      <c r="B50" s="35" t="s">
        <v>32</v>
      </c>
      <c r="C50" s="35" t="str">
        <f>'5'!C2</f>
        <v>3rd Tutorial
Exam (30)</v>
      </c>
      <c r="D50" s="35" t="str">
        <f>'5'!D2</f>
        <v>3rd Semester
Exam (70)</v>
      </c>
      <c r="E50" s="35" t="s">
        <v>35</v>
      </c>
      <c r="F50" s="36" t="s">
        <v>36</v>
      </c>
      <c r="G50" s="35" t="s">
        <v>37</v>
      </c>
      <c r="H50" s="35" t="s">
        <v>38</v>
      </c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>
      <c r="B51" s="37" t="s">
        <v>6</v>
      </c>
      <c r="C51" s="37">
        <f>'5t'!C12</f>
        <v>30</v>
      </c>
      <c r="D51" s="38">
        <f>'5s'!C12</f>
        <v>52</v>
      </c>
      <c r="E51" s="38">
        <f t="shared" ref="E51:E56" si="19">SUM(C51:D51)</f>
        <v>82</v>
      </c>
      <c r="F51" s="39" t="str">
        <f t="shared" ref="F51:F56" si="20">IF(E51&gt;=80,"A+",
IF(E51&gt;=70,"A",
IF(E51&gt;=60,"A-",
IF(E51&gt;=50,"B",
IF(E51&gt;=40,"C",
IF(E51&gt;=33,"D","F"))))))
</f>
        <v>A+</v>
      </c>
      <c r="G51" s="38">
        <f t="shared" ref="G51:G56" si="21">IF(E51&gt;=80,5,
IF(E51&gt;=70,4,
IF(E51&gt;=60,3.5,
IF(E51&gt;=50,3,
IF(E51&gt;=40,2,
IF(E51&gt;=33,1,0))))))</f>
        <v>5</v>
      </c>
      <c r="H51" s="40">
        <f>AVERAGE(
VALUE(G51),
VALUE(G52),
VALUE(G53),
VALUE(G54),
VALUE(G55),
VALUE(G56))</f>
        <v>3.833333333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>
      <c r="B52" s="37" t="s">
        <v>39</v>
      </c>
      <c r="C52" s="37">
        <f>'5t'!D12</f>
        <v>26</v>
      </c>
      <c r="D52" s="38">
        <f>'5s'!D12</f>
        <v>35</v>
      </c>
      <c r="E52" s="38">
        <f t="shared" si="19"/>
        <v>61</v>
      </c>
      <c r="F52" s="39" t="str">
        <f t="shared" si="20"/>
        <v>A-</v>
      </c>
      <c r="G52" s="38">
        <f t="shared" si="21"/>
        <v>3.5</v>
      </c>
      <c r="H52" s="41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>
      <c r="B53" s="38" t="s">
        <v>40</v>
      </c>
      <c r="C53" s="37">
        <f>'5t'!E12</f>
        <v>10</v>
      </c>
      <c r="D53" s="38">
        <f>'5s'!E12</f>
        <v>33</v>
      </c>
      <c r="E53" s="38">
        <f t="shared" si="19"/>
        <v>43</v>
      </c>
      <c r="F53" s="39" t="str">
        <f t="shared" si="20"/>
        <v>C</v>
      </c>
      <c r="G53" s="38">
        <f t="shared" si="21"/>
        <v>2</v>
      </c>
      <c r="H53" s="41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>
      <c r="B54" s="38" t="s">
        <v>41</v>
      </c>
      <c r="C54" s="38">
        <f>'5t'!F12</f>
        <v>30</v>
      </c>
      <c r="D54" s="38">
        <f>'5s'!F12</f>
        <v>36</v>
      </c>
      <c r="E54" s="38">
        <f t="shared" si="19"/>
        <v>66</v>
      </c>
      <c r="F54" s="39" t="str">
        <f t="shared" si="20"/>
        <v>A-</v>
      </c>
      <c r="G54" s="38">
        <f t="shared" si="21"/>
        <v>3.5</v>
      </c>
      <c r="H54" s="41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>
      <c r="B55" s="38" t="s">
        <v>10</v>
      </c>
      <c r="C55" s="38">
        <f>'5t'!G12</f>
        <v>27</v>
      </c>
      <c r="D55" s="38">
        <f>'5s'!G12</f>
        <v>51</v>
      </c>
      <c r="E55" s="38">
        <f t="shared" si="19"/>
        <v>78</v>
      </c>
      <c r="F55" s="39" t="str">
        <f t="shared" si="20"/>
        <v>A</v>
      </c>
      <c r="G55" s="38">
        <f t="shared" si="21"/>
        <v>4</v>
      </c>
      <c r="H55" s="41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>
      <c r="B56" s="38" t="s">
        <v>11</v>
      </c>
      <c r="C56" s="38">
        <f>'5t'!H12</f>
        <v>30</v>
      </c>
      <c r="D56" s="38">
        <f>'5s'!H12</f>
        <v>68</v>
      </c>
      <c r="E56" s="38">
        <f t="shared" si="19"/>
        <v>98</v>
      </c>
      <c r="F56" s="39" t="str">
        <f t="shared" si="20"/>
        <v>A+</v>
      </c>
      <c r="G56" s="38">
        <f t="shared" si="21"/>
        <v>5</v>
      </c>
      <c r="H56" s="12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>
      <c r="A57" s="30" t="s">
        <v>3</v>
      </c>
      <c r="B57" s="31" t="s">
        <v>31</v>
      </c>
      <c r="C57" s="42" t="str">
        <f>'5s'!B13</f>
        <v>ROJJOB</v>
      </c>
      <c r="D57" s="23"/>
      <c r="E57" s="23"/>
      <c r="F57" s="23"/>
      <c r="G57" s="23"/>
      <c r="H57" s="24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>
      <c r="A58" s="34">
        <v>8.0</v>
      </c>
      <c r="B58" s="35" t="s">
        <v>32</v>
      </c>
      <c r="C58" s="35" t="str">
        <f>'5'!C2</f>
        <v>3rd Tutorial
Exam (30)</v>
      </c>
      <c r="D58" s="35" t="str">
        <f>'5'!D2</f>
        <v>3rd Semester
Exam (70)</v>
      </c>
      <c r="E58" s="35" t="s">
        <v>35</v>
      </c>
      <c r="F58" s="36" t="s">
        <v>36</v>
      </c>
      <c r="G58" s="35" t="s">
        <v>37</v>
      </c>
      <c r="H58" s="35" t="s">
        <v>38</v>
      </c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>
      <c r="B59" s="37" t="s">
        <v>6</v>
      </c>
      <c r="C59" s="37">
        <f>'5t'!C13</f>
        <v>30</v>
      </c>
      <c r="D59" s="38">
        <f>'5s'!C13</f>
        <v>59</v>
      </c>
      <c r="E59" s="38">
        <f t="shared" ref="E59:E64" si="22">SUM(C59:D59)</f>
        <v>89</v>
      </c>
      <c r="F59" s="39" t="str">
        <f t="shared" ref="F59:F64" si="23">IF(E59&gt;=80,"A+",
IF(E59&gt;=70,"A",
IF(E59&gt;=60,"A-",
IF(E59&gt;=50,"B",
IF(E59&gt;=40,"C",
IF(E59&gt;=33,"D","F"))))))
</f>
        <v>A+</v>
      </c>
      <c r="G59" s="38">
        <f t="shared" ref="G59:G64" si="24">IF(E59&gt;=80,5,
IF(E59&gt;=70,4,
IF(E59&gt;=60,3.5,
IF(E59&gt;=50,3,
IF(E59&gt;=40,2,
IF(E59&gt;=33,1,0))))))</f>
        <v>5</v>
      </c>
      <c r="H59" s="40">
        <f>AVERAGE(
VALUE(G59),
VALUE(G60),
VALUE(G61),
VALUE(G62),
VALUE(G63),
VALUE(G64))</f>
        <v>4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>
      <c r="B60" s="37" t="s">
        <v>39</v>
      </c>
      <c r="C60" s="37">
        <f>'5t'!D13</f>
        <v>28</v>
      </c>
      <c r="D60" s="38">
        <f>'5s'!D13</f>
        <v>25</v>
      </c>
      <c r="E60" s="38">
        <f t="shared" si="22"/>
        <v>53</v>
      </c>
      <c r="F60" s="39" t="str">
        <f t="shared" si="23"/>
        <v>B</v>
      </c>
      <c r="G60" s="38">
        <f t="shared" si="24"/>
        <v>3</v>
      </c>
      <c r="H60" s="41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>
      <c r="B61" s="38" t="s">
        <v>40</v>
      </c>
      <c r="C61" s="37">
        <f>'5t'!E13</f>
        <v>20</v>
      </c>
      <c r="D61" s="38">
        <f>'5s'!E13</f>
        <v>40</v>
      </c>
      <c r="E61" s="38">
        <f t="shared" si="22"/>
        <v>60</v>
      </c>
      <c r="F61" s="39" t="str">
        <f t="shared" si="23"/>
        <v>A-</v>
      </c>
      <c r="G61" s="38">
        <f t="shared" si="24"/>
        <v>3.5</v>
      </c>
      <c r="H61" s="41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>
      <c r="B62" s="38" t="s">
        <v>41</v>
      </c>
      <c r="C62" s="38">
        <f>'5t'!F13</f>
        <v>30</v>
      </c>
      <c r="D62" s="38">
        <f>'5s'!F13</f>
        <v>50</v>
      </c>
      <c r="E62" s="38">
        <f t="shared" si="22"/>
        <v>80</v>
      </c>
      <c r="F62" s="39" t="str">
        <f t="shared" si="23"/>
        <v>A+</v>
      </c>
      <c r="G62" s="38">
        <f t="shared" si="24"/>
        <v>5</v>
      </c>
      <c r="H62" s="41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>
      <c r="B63" s="38" t="s">
        <v>10</v>
      </c>
      <c r="C63" s="38">
        <f>'5t'!G13</f>
        <v>25</v>
      </c>
      <c r="D63" s="38">
        <f>'5s'!G13</f>
        <v>35</v>
      </c>
      <c r="E63" s="38">
        <f t="shared" si="22"/>
        <v>60</v>
      </c>
      <c r="F63" s="39" t="str">
        <f t="shared" si="23"/>
        <v>A-</v>
      </c>
      <c r="G63" s="38">
        <f t="shared" si="24"/>
        <v>3.5</v>
      </c>
      <c r="H63" s="41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>
      <c r="B64" s="38" t="s">
        <v>11</v>
      </c>
      <c r="C64" s="38">
        <f>'5t'!H13</f>
        <v>30</v>
      </c>
      <c r="D64" s="38">
        <f>'5s'!H13</f>
        <v>45</v>
      </c>
      <c r="E64" s="38">
        <f t="shared" si="22"/>
        <v>75</v>
      </c>
      <c r="F64" s="39" t="str">
        <f t="shared" si="23"/>
        <v>A</v>
      </c>
      <c r="G64" s="38">
        <f t="shared" si="24"/>
        <v>4</v>
      </c>
      <c r="H64" s="12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>
      <c r="A65" s="30" t="s">
        <v>3</v>
      </c>
      <c r="B65" s="31" t="s">
        <v>31</v>
      </c>
      <c r="C65" s="42" t="str">
        <f>'5s'!B14</f>
        <v>SHIRHUDZZAMAN TAMIM</v>
      </c>
      <c r="D65" s="23"/>
      <c r="E65" s="23"/>
      <c r="F65" s="23"/>
      <c r="G65" s="23"/>
      <c r="H65" s="24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>
      <c r="A66" s="34">
        <v>9.0</v>
      </c>
      <c r="B66" s="35" t="s">
        <v>32</v>
      </c>
      <c r="C66" s="35" t="str">
        <f>'5'!C2</f>
        <v>3rd Tutorial
Exam (30)</v>
      </c>
      <c r="D66" s="35" t="str">
        <f>'5'!D2</f>
        <v>3rd Semester
Exam (70)</v>
      </c>
      <c r="E66" s="35" t="s">
        <v>35</v>
      </c>
      <c r="F66" s="36" t="s">
        <v>36</v>
      </c>
      <c r="G66" s="35" t="s">
        <v>37</v>
      </c>
      <c r="H66" s="35" t="s">
        <v>38</v>
      </c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>
      <c r="B67" s="37" t="s">
        <v>6</v>
      </c>
      <c r="C67" s="37">
        <f>'5t'!C14</f>
        <v>30</v>
      </c>
      <c r="D67" s="38">
        <f>'5s'!C14</f>
        <v>61</v>
      </c>
      <c r="E67" s="38">
        <f t="shared" ref="E67:E72" si="25">SUM(C67:D67)</f>
        <v>91</v>
      </c>
      <c r="F67" s="39" t="str">
        <f t="shared" ref="F67:F72" si="26">IF(E67&gt;=80,"A+",
IF(E67&gt;=70,"A",
IF(E67&gt;=60,"A-",
IF(E67&gt;=50,"B",
IF(E67&gt;=40,"C",
IF(E67&gt;=33,"D","F"))))))
</f>
        <v>A+</v>
      </c>
      <c r="G67" s="38">
        <f t="shared" ref="G67:G72" si="27">IF(E67&gt;=80,5,
IF(E67&gt;=70,4,
IF(E67&gt;=60,3.5,
IF(E67&gt;=50,3,
IF(E67&gt;=40,2,
IF(E67&gt;=33,1,0))))))</f>
        <v>5</v>
      </c>
      <c r="H67" s="40">
        <f>AVERAGE(
VALUE(G67),
VALUE(G68),
VALUE(G69),
VALUE(G70),
VALUE(G71),
VALUE(G72))</f>
        <v>4.416666667</v>
      </c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>
      <c r="B68" s="37" t="s">
        <v>39</v>
      </c>
      <c r="C68" s="37">
        <f>'5t'!D14</f>
        <v>28</v>
      </c>
      <c r="D68" s="38">
        <f>'5s'!D14</f>
        <v>40</v>
      </c>
      <c r="E68" s="38">
        <f t="shared" si="25"/>
        <v>68</v>
      </c>
      <c r="F68" s="39" t="str">
        <f t="shared" si="26"/>
        <v>A-</v>
      </c>
      <c r="G68" s="38">
        <f t="shared" si="27"/>
        <v>3.5</v>
      </c>
      <c r="H68" s="41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>
      <c r="B69" s="38" t="s">
        <v>40</v>
      </c>
      <c r="C69" s="37">
        <f>'5t'!E14</f>
        <v>26</v>
      </c>
      <c r="D69" s="38">
        <f>'5s'!E14</f>
        <v>44</v>
      </c>
      <c r="E69" s="38">
        <f t="shared" si="25"/>
        <v>70</v>
      </c>
      <c r="F69" s="39" t="str">
        <f t="shared" si="26"/>
        <v>A</v>
      </c>
      <c r="G69" s="38">
        <f t="shared" si="27"/>
        <v>4</v>
      </c>
      <c r="H69" s="41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>
      <c r="B70" s="38" t="s">
        <v>41</v>
      </c>
      <c r="C70" s="38">
        <f>'5t'!F14</f>
        <v>30</v>
      </c>
      <c r="D70" s="38">
        <f>'5s'!F14</f>
        <v>53</v>
      </c>
      <c r="E70" s="38">
        <f t="shared" si="25"/>
        <v>83</v>
      </c>
      <c r="F70" s="39" t="str">
        <f t="shared" si="26"/>
        <v>A+</v>
      </c>
      <c r="G70" s="38">
        <f t="shared" si="27"/>
        <v>5</v>
      </c>
      <c r="H70" s="41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>
      <c r="B71" s="38" t="s">
        <v>10</v>
      </c>
      <c r="C71" s="38">
        <f>'5t'!G14</f>
        <v>26</v>
      </c>
      <c r="D71" s="38">
        <f>'5s'!G14</f>
        <v>50</v>
      </c>
      <c r="E71" s="38">
        <f t="shared" si="25"/>
        <v>76</v>
      </c>
      <c r="F71" s="39" t="str">
        <f t="shared" si="26"/>
        <v>A</v>
      </c>
      <c r="G71" s="38">
        <f t="shared" si="27"/>
        <v>4</v>
      </c>
      <c r="H71" s="41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>
      <c r="B72" s="38" t="s">
        <v>11</v>
      </c>
      <c r="C72" s="38">
        <f>'5t'!H14</f>
        <v>30</v>
      </c>
      <c r="D72" s="38">
        <f>'5s'!H14</f>
        <v>68</v>
      </c>
      <c r="E72" s="38">
        <f t="shared" si="25"/>
        <v>98</v>
      </c>
      <c r="F72" s="39" t="str">
        <f t="shared" si="26"/>
        <v>A+</v>
      </c>
      <c r="G72" s="38">
        <f t="shared" si="27"/>
        <v>5</v>
      </c>
      <c r="H72" s="12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>
      <c r="A73" s="30" t="s">
        <v>3</v>
      </c>
      <c r="B73" s="31" t="s">
        <v>31</v>
      </c>
      <c r="C73" s="42" t="str">
        <f>'5s'!B15</f>
        <v>SHABBIR HOSSAN</v>
      </c>
      <c r="D73" s="23"/>
      <c r="E73" s="23"/>
      <c r="F73" s="23"/>
      <c r="G73" s="23"/>
      <c r="H73" s="24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>
      <c r="A74" s="34">
        <v>10.0</v>
      </c>
      <c r="B74" s="35" t="s">
        <v>32</v>
      </c>
      <c r="C74" s="35" t="str">
        <f>'5'!C2</f>
        <v>3rd Tutorial
Exam (30)</v>
      </c>
      <c r="D74" s="35" t="str">
        <f>'5'!D2</f>
        <v>3rd Semester
Exam (70)</v>
      </c>
      <c r="E74" s="35" t="s">
        <v>35</v>
      </c>
      <c r="F74" s="36" t="s">
        <v>36</v>
      </c>
      <c r="G74" s="35" t="s">
        <v>37</v>
      </c>
      <c r="H74" s="35" t="s">
        <v>38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>
      <c r="B75" s="37" t="s">
        <v>6</v>
      </c>
      <c r="C75" s="37">
        <f>'5t'!C15</f>
        <v>10</v>
      </c>
      <c r="D75" s="38">
        <f>'5s'!C15</f>
        <v>45</v>
      </c>
      <c r="E75" s="38">
        <f t="shared" ref="E75:E80" si="28">SUM(C75:D75)</f>
        <v>55</v>
      </c>
      <c r="F75" s="39" t="str">
        <f t="shared" ref="F75:F80" si="29">IF(E75&gt;=80,"A+",
IF(E75&gt;=70,"A",
IF(E75&gt;=60,"A-",
IF(E75&gt;=50,"B",
IF(E75&gt;=40,"C",
IF(E75&gt;=33,"D","F"))))))
</f>
        <v>B</v>
      </c>
      <c r="G75" s="38">
        <f t="shared" ref="G75:G80" si="30">IF(E75&gt;=80,5,
IF(E75&gt;=70,4,
IF(E75&gt;=60,3.5,
IF(E75&gt;=50,3,
IF(E75&gt;=40,2,
IF(E75&gt;=33,1,0))))))</f>
        <v>3</v>
      </c>
      <c r="H75" s="40">
        <f>AVERAGE(
VALUE(G75),
VALUE(G76),
VALUE(G77),
VALUE(G78),
VALUE(G79),
VALUE(G80))</f>
        <v>2.75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>
      <c r="B76" s="37" t="s">
        <v>39</v>
      </c>
      <c r="C76" s="37">
        <f>'5t'!D15</f>
        <v>20</v>
      </c>
      <c r="D76" s="38">
        <f>'5s'!D15</f>
        <v>30</v>
      </c>
      <c r="E76" s="38">
        <f t="shared" si="28"/>
        <v>50</v>
      </c>
      <c r="F76" s="39" t="str">
        <f t="shared" si="29"/>
        <v>B</v>
      </c>
      <c r="G76" s="38">
        <f t="shared" si="30"/>
        <v>3</v>
      </c>
      <c r="H76" s="41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>
      <c r="B77" s="38" t="s">
        <v>40</v>
      </c>
      <c r="C77" s="37">
        <f>'5t'!E15</f>
        <v>15</v>
      </c>
      <c r="D77" s="38">
        <f>'5s'!E15</f>
        <v>25</v>
      </c>
      <c r="E77" s="38">
        <f t="shared" si="28"/>
        <v>40</v>
      </c>
      <c r="F77" s="39" t="str">
        <f t="shared" si="29"/>
        <v>C</v>
      </c>
      <c r="G77" s="38">
        <f t="shared" si="30"/>
        <v>2</v>
      </c>
      <c r="H77" s="41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>
      <c r="B78" s="38" t="s">
        <v>41</v>
      </c>
      <c r="C78" s="38">
        <f>'5t'!F15</f>
        <v>10</v>
      </c>
      <c r="D78" s="38">
        <f>'5s'!F15</f>
        <v>25</v>
      </c>
      <c r="E78" s="38">
        <f t="shared" si="28"/>
        <v>35</v>
      </c>
      <c r="F78" s="39" t="str">
        <f t="shared" si="29"/>
        <v>D</v>
      </c>
      <c r="G78" s="38">
        <f t="shared" si="30"/>
        <v>1</v>
      </c>
      <c r="H78" s="41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>
      <c r="B79" s="38" t="s">
        <v>10</v>
      </c>
      <c r="C79" s="38">
        <f>'5t'!G15</f>
        <v>24</v>
      </c>
      <c r="D79" s="38">
        <f>'5s'!G15</f>
        <v>38</v>
      </c>
      <c r="E79" s="38">
        <f t="shared" si="28"/>
        <v>62</v>
      </c>
      <c r="F79" s="39" t="str">
        <f t="shared" si="29"/>
        <v>A-</v>
      </c>
      <c r="G79" s="38">
        <f t="shared" si="30"/>
        <v>3.5</v>
      </c>
      <c r="H79" s="41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>
      <c r="B80" s="38" t="s">
        <v>11</v>
      </c>
      <c r="C80" s="38">
        <f>'5t'!H15</f>
        <v>30</v>
      </c>
      <c r="D80" s="38">
        <f>'5s'!H15</f>
        <v>40</v>
      </c>
      <c r="E80" s="38">
        <f t="shared" si="28"/>
        <v>70</v>
      </c>
      <c r="F80" s="39" t="str">
        <f t="shared" si="29"/>
        <v>A</v>
      </c>
      <c r="G80" s="38">
        <f t="shared" si="30"/>
        <v>4</v>
      </c>
      <c r="H80" s="12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>
      <c r="A81" s="30" t="s">
        <v>3</v>
      </c>
      <c r="B81" s="31" t="s">
        <v>31</v>
      </c>
      <c r="C81" s="42" t="str">
        <f>'5s'!B16</f>
        <v>FIROJ BABU</v>
      </c>
      <c r="D81" s="23"/>
      <c r="E81" s="23"/>
      <c r="F81" s="23"/>
      <c r="G81" s="23"/>
      <c r="H81" s="24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34">
        <v>11.0</v>
      </c>
      <c r="B82" s="35" t="s">
        <v>32</v>
      </c>
      <c r="C82" s="35" t="str">
        <f>'5'!C2</f>
        <v>3rd Tutorial
Exam (30)</v>
      </c>
      <c r="D82" s="35" t="str">
        <f>'5'!D2</f>
        <v>3rd Semester
Exam (70)</v>
      </c>
      <c r="E82" s="35" t="s">
        <v>35</v>
      </c>
      <c r="F82" s="36" t="s">
        <v>36</v>
      </c>
      <c r="G82" s="35" t="s">
        <v>37</v>
      </c>
      <c r="H82" s="35" t="s">
        <v>38</v>
      </c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>
      <c r="B83" s="37" t="s">
        <v>6</v>
      </c>
      <c r="C83" s="37">
        <f>'5t'!C16</f>
        <v>30</v>
      </c>
      <c r="D83" s="38">
        <f>'5s'!C16</f>
        <v>58</v>
      </c>
      <c r="E83" s="38">
        <f t="shared" ref="E83:E88" si="31">SUM(C83:D83)</f>
        <v>88</v>
      </c>
      <c r="F83" s="39" t="str">
        <f t="shared" ref="F83:F88" si="32">IF(E83&gt;=80,"A+",
IF(E83&gt;=70,"A",
IF(E83&gt;=60,"A-",
IF(E83&gt;=50,"B",
IF(E83&gt;=40,"C",
IF(E83&gt;=33,"D","F"))))))
</f>
        <v>A+</v>
      </c>
      <c r="G83" s="38">
        <f t="shared" ref="G83:G88" si="33">IF(E83&gt;=80,5,
IF(E83&gt;=70,4,
IF(E83&gt;=60,3.5,
IF(E83&gt;=50,3,
IF(E83&gt;=40,2,
IF(E83&gt;=33,1,0))))))</f>
        <v>5</v>
      </c>
      <c r="H83" s="40">
        <f>AVERAGE(
VALUE(G83),
VALUE(G84),
VALUE(G85),
VALUE(G86),
VALUE(G87),
VALUE(G88))</f>
        <v>3.583333333</v>
      </c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>
      <c r="B84" s="37" t="s">
        <v>39</v>
      </c>
      <c r="C84" s="37">
        <f>'5t'!D16</f>
        <v>24</v>
      </c>
      <c r="D84" s="38">
        <f>'5s'!D16</f>
        <v>35</v>
      </c>
      <c r="E84" s="38">
        <f t="shared" si="31"/>
        <v>59</v>
      </c>
      <c r="F84" s="39" t="str">
        <f t="shared" si="32"/>
        <v>B</v>
      </c>
      <c r="G84" s="38">
        <f t="shared" si="33"/>
        <v>3</v>
      </c>
      <c r="H84" s="41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>
      <c r="B85" s="38" t="s">
        <v>40</v>
      </c>
      <c r="C85" s="37">
        <f>'5t'!E16</f>
        <v>10</v>
      </c>
      <c r="D85" s="38">
        <f>'5s'!E16</f>
        <v>40</v>
      </c>
      <c r="E85" s="38">
        <f t="shared" si="31"/>
        <v>50</v>
      </c>
      <c r="F85" s="39" t="str">
        <f t="shared" si="32"/>
        <v>B</v>
      </c>
      <c r="G85" s="38">
        <f t="shared" si="33"/>
        <v>3</v>
      </c>
      <c r="H85" s="41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B86" s="38" t="s">
        <v>41</v>
      </c>
      <c r="C86" s="38">
        <f>'5t'!F16</f>
        <v>30</v>
      </c>
      <c r="D86" s="38">
        <f>'5s'!F16</f>
        <v>30</v>
      </c>
      <c r="E86" s="38">
        <f t="shared" si="31"/>
        <v>60</v>
      </c>
      <c r="F86" s="39" t="str">
        <f t="shared" si="32"/>
        <v>A-</v>
      </c>
      <c r="G86" s="38">
        <f t="shared" si="33"/>
        <v>3.5</v>
      </c>
      <c r="H86" s="41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>
      <c r="B87" s="38" t="s">
        <v>10</v>
      </c>
      <c r="C87" s="38">
        <f>'5t'!G16</f>
        <v>25</v>
      </c>
      <c r="D87" s="38">
        <f>'5s'!G16</f>
        <v>28</v>
      </c>
      <c r="E87" s="38">
        <f t="shared" si="31"/>
        <v>53</v>
      </c>
      <c r="F87" s="39" t="str">
        <f t="shared" si="32"/>
        <v>B</v>
      </c>
      <c r="G87" s="38">
        <f t="shared" si="33"/>
        <v>3</v>
      </c>
      <c r="H87" s="41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B88" s="38" t="s">
        <v>11</v>
      </c>
      <c r="C88" s="38">
        <f>'5t'!H16</f>
        <v>30</v>
      </c>
      <c r="D88" s="38">
        <f>'5s'!H16</f>
        <v>41</v>
      </c>
      <c r="E88" s="38">
        <f t="shared" si="31"/>
        <v>71</v>
      </c>
      <c r="F88" s="39" t="str">
        <f t="shared" si="32"/>
        <v>A</v>
      </c>
      <c r="G88" s="38">
        <f t="shared" si="33"/>
        <v>4</v>
      </c>
      <c r="H88" s="12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>
      <c r="A89" s="30" t="s">
        <v>3</v>
      </c>
      <c r="B89" s="31" t="s">
        <v>31</v>
      </c>
      <c r="C89" s="42" t="str">
        <f>'5s'!B17</f>
        <v>SAFAYET HOSSEN</v>
      </c>
      <c r="D89" s="23"/>
      <c r="E89" s="23"/>
      <c r="F89" s="23"/>
      <c r="G89" s="23"/>
      <c r="H89" s="24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34">
        <v>12.0</v>
      </c>
      <c r="B90" s="35" t="s">
        <v>32</v>
      </c>
      <c r="C90" s="35" t="str">
        <f>'5'!C2</f>
        <v>3rd Tutorial
Exam (30)</v>
      </c>
      <c r="D90" s="35" t="str">
        <f>'5'!D2</f>
        <v>3rd Semester
Exam (70)</v>
      </c>
      <c r="E90" s="35" t="s">
        <v>35</v>
      </c>
      <c r="F90" s="36" t="s">
        <v>36</v>
      </c>
      <c r="G90" s="35" t="s">
        <v>37</v>
      </c>
      <c r="H90" s="35" t="s">
        <v>38</v>
      </c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>
      <c r="B91" s="37" t="s">
        <v>6</v>
      </c>
      <c r="C91" s="37">
        <f>'5t'!C17</f>
        <v>22</v>
      </c>
      <c r="D91" s="38">
        <f>'5s'!C17</f>
        <v>46</v>
      </c>
      <c r="E91" s="38">
        <f t="shared" ref="E91:E96" si="34">SUM(C91:D91)</f>
        <v>68</v>
      </c>
      <c r="F91" s="39" t="str">
        <f t="shared" ref="F91:F96" si="35">IF(E91&gt;=80,"A+",
IF(E91&gt;=70,"A",
IF(E91&gt;=60,"A-",
IF(E91&gt;=50,"B",
IF(E91&gt;=40,"C",
IF(E91&gt;=33,"D","F"))))))
</f>
        <v>A-</v>
      </c>
      <c r="G91" s="38">
        <f t="shared" ref="G91:G96" si="36">IF(E91&gt;=80,5,
IF(E91&gt;=70,4,
IF(E91&gt;=60,3.5,
IF(E91&gt;=50,3,
IF(E91&gt;=40,2,
IF(E91&gt;=33,1,0))))))</f>
        <v>3.5</v>
      </c>
      <c r="H91" s="40">
        <f>AVERAGE(
VALUE(G91),
VALUE(G92),
VALUE(G93),
VALUE(G94),
VALUE(G95),
VALUE(G96))</f>
        <v>3.416666667</v>
      </c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>
      <c r="B92" s="37" t="s">
        <v>39</v>
      </c>
      <c r="C92" s="37">
        <f>'5t'!D17</f>
        <v>26</v>
      </c>
      <c r="D92" s="38">
        <f>'5s'!D17</f>
        <v>25</v>
      </c>
      <c r="E92" s="38">
        <f t="shared" si="34"/>
        <v>51</v>
      </c>
      <c r="F92" s="39" t="str">
        <f t="shared" si="35"/>
        <v>B</v>
      </c>
      <c r="G92" s="38">
        <f t="shared" si="36"/>
        <v>3</v>
      </c>
      <c r="H92" s="41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>
      <c r="B93" s="38" t="s">
        <v>40</v>
      </c>
      <c r="C93" s="37">
        <f>'5t'!E17</f>
        <v>11</v>
      </c>
      <c r="D93" s="38">
        <f>'5s'!E17</f>
        <v>40</v>
      </c>
      <c r="E93" s="38">
        <f t="shared" si="34"/>
        <v>51</v>
      </c>
      <c r="F93" s="39" t="str">
        <f t="shared" si="35"/>
        <v>B</v>
      </c>
      <c r="G93" s="38">
        <f t="shared" si="36"/>
        <v>3</v>
      </c>
      <c r="H93" s="41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B94" s="38" t="s">
        <v>41</v>
      </c>
      <c r="C94" s="38">
        <f>'5t'!F17</f>
        <v>22</v>
      </c>
      <c r="D94" s="38">
        <f>'5s'!F17</f>
        <v>29</v>
      </c>
      <c r="E94" s="38">
        <f t="shared" si="34"/>
        <v>51</v>
      </c>
      <c r="F94" s="39" t="str">
        <f t="shared" si="35"/>
        <v>B</v>
      </c>
      <c r="G94" s="38">
        <f t="shared" si="36"/>
        <v>3</v>
      </c>
      <c r="H94" s="41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>
      <c r="B95" s="38" t="s">
        <v>10</v>
      </c>
      <c r="C95" s="38">
        <f>'5t'!G17</f>
        <v>25</v>
      </c>
      <c r="D95" s="38">
        <f>'5s'!G17</f>
        <v>26</v>
      </c>
      <c r="E95" s="38">
        <f t="shared" si="34"/>
        <v>51</v>
      </c>
      <c r="F95" s="39" t="str">
        <f t="shared" si="35"/>
        <v>B</v>
      </c>
      <c r="G95" s="38">
        <f t="shared" si="36"/>
        <v>3</v>
      </c>
      <c r="H95" s="41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>
      <c r="B96" s="38" t="s">
        <v>11</v>
      </c>
      <c r="C96" s="38">
        <f>'5t'!H17</f>
        <v>30</v>
      </c>
      <c r="D96" s="38">
        <f>'5s'!H17</f>
        <v>62</v>
      </c>
      <c r="E96" s="38">
        <f t="shared" si="34"/>
        <v>92</v>
      </c>
      <c r="F96" s="39" t="str">
        <f t="shared" si="35"/>
        <v>A+</v>
      </c>
      <c r="G96" s="38">
        <f t="shared" si="36"/>
        <v>5</v>
      </c>
      <c r="H96" s="12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>
      <c r="A97" s="30" t="s">
        <v>3</v>
      </c>
      <c r="B97" s="31" t="s">
        <v>31</v>
      </c>
      <c r="C97" s="42" t="str">
        <f>'5s'!B18</f>
        <v>RIFAT HOSSEN</v>
      </c>
      <c r="D97" s="23"/>
      <c r="E97" s="23"/>
      <c r="F97" s="23"/>
      <c r="G97" s="23"/>
      <c r="H97" s="24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>
      <c r="A98" s="34">
        <v>13.0</v>
      </c>
      <c r="B98" s="35" t="s">
        <v>32</v>
      </c>
      <c r="C98" s="35" t="str">
        <f>'5'!C2</f>
        <v>3rd Tutorial
Exam (30)</v>
      </c>
      <c r="D98" s="35" t="str">
        <f>'5'!D2</f>
        <v>3rd Semester
Exam (70)</v>
      </c>
      <c r="E98" s="35" t="s">
        <v>35</v>
      </c>
      <c r="F98" s="36" t="s">
        <v>36</v>
      </c>
      <c r="G98" s="35" t="s">
        <v>37</v>
      </c>
      <c r="H98" s="35" t="s">
        <v>38</v>
      </c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>
      <c r="B99" s="37" t="s">
        <v>6</v>
      </c>
      <c r="C99" s="37">
        <f>'5t'!C18</f>
        <v>30</v>
      </c>
      <c r="D99" s="38">
        <f>'5s'!C18</f>
        <v>49</v>
      </c>
      <c r="E99" s="38">
        <f t="shared" ref="E99:E104" si="37">SUM(C99:D99)</f>
        <v>79</v>
      </c>
      <c r="F99" s="39" t="str">
        <f t="shared" ref="F99:F104" si="38">IF(E99&gt;=80,"A+",
IF(E99&gt;=70,"A",
IF(E99&gt;=60,"A-",
IF(E99&gt;=50,"B",
IF(E99&gt;=40,"C",
IF(E99&gt;=33,"D","F"))))))
</f>
        <v>A</v>
      </c>
      <c r="G99" s="38">
        <f t="shared" ref="G99:G104" si="39">IF(E99&gt;=80,5,
IF(E99&gt;=70,4,
IF(E99&gt;=60,3.5,
IF(E99&gt;=50,3,
IF(E99&gt;=40,2,
IF(E99&gt;=33,1,0))))))</f>
        <v>4</v>
      </c>
      <c r="H99" s="40">
        <f>AVERAGE(
VALUE(G99),
VALUE(G100),
VALUE(G101),
VALUE(G102),
VALUE(G103),
VALUE(G104))</f>
        <v>3.25</v>
      </c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>
      <c r="B100" s="37" t="s">
        <v>39</v>
      </c>
      <c r="C100" s="37">
        <f>'5t'!D18</f>
        <v>18</v>
      </c>
      <c r="D100" s="38">
        <f>'5s'!D18</f>
        <v>33</v>
      </c>
      <c r="E100" s="38">
        <f t="shared" si="37"/>
        <v>51</v>
      </c>
      <c r="F100" s="39" t="str">
        <f t="shared" si="38"/>
        <v>B</v>
      </c>
      <c r="G100" s="38">
        <f t="shared" si="39"/>
        <v>3</v>
      </c>
      <c r="H100" s="41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>
      <c r="B101" s="38" t="s">
        <v>40</v>
      </c>
      <c r="C101" s="37">
        <f>'5t'!E18</f>
        <v>20</v>
      </c>
      <c r="D101" s="38">
        <f>'5s'!E18</f>
        <v>25</v>
      </c>
      <c r="E101" s="38">
        <f t="shared" si="37"/>
        <v>45</v>
      </c>
      <c r="F101" s="39" t="str">
        <f t="shared" si="38"/>
        <v>C</v>
      </c>
      <c r="G101" s="38">
        <f t="shared" si="39"/>
        <v>2</v>
      </c>
      <c r="H101" s="41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B102" s="38" t="s">
        <v>41</v>
      </c>
      <c r="C102" s="38">
        <f>'5t'!F18</f>
        <v>28</v>
      </c>
      <c r="D102" s="38">
        <f>'5s'!F18</f>
        <v>38</v>
      </c>
      <c r="E102" s="38">
        <f t="shared" si="37"/>
        <v>66</v>
      </c>
      <c r="F102" s="39" t="str">
        <f t="shared" si="38"/>
        <v>A-</v>
      </c>
      <c r="G102" s="38">
        <f t="shared" si="39"/>
        <v>3.5</v>
      </c>
      <c r="H102" s="41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>
      <c r="B103" s="38" t="s">
        <v>10</v>
      </c>
      <c r="C103" s="38">
        <f>'5t'!G18</f>
        <v>22</v>
      </c>
      <c r="D103" s="38">
        <f>'5s'!G18</f>
        <v>25</v>
      </c>
      <c r="E103" s="38">
        <f t="shared" si="37"/>
        <v>47</v>
      </c>
      <c r="F103" s="39" t="str">
        <f t="shared" si="38"/>
        <v>C</v>
      </c>
      <c r="G103" s="38">
        <f t="shared" si="39"/>
        <v>2</v>
      </c>
      <c r="H103" s="41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B104" s="38" t="s">
        <v>11</v>
      </c>
      <c r="C104" s="38">
        <f>'5t'!H18</f>
        <v>30</v>
      </c>
      <c r="D104" s="38">
        <f>'5s'!H18</f>
        <v>58</v>
      </c>
      <c r="E104" s="38">
        <f t="shared" si="37"/>
        <v>88</v>
      </c>
      <c r="F104" s="39" t="str">
        <f t="shared" si="38"/>
        <v>A+</v>
      </c>
      <c r="G104" s="38">
        <f t="shared" si="39"/>
        <v>5</v>
      </c>
      <c r="H104" s="12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>
      <c r="A105" s="30" t="s">
        <v>3</v>
      </c>
      <c r="B105" s="31" t="s">
        <v>31</v>
      </c>
      <c r="C105" s="42" t="str">
        <f>'5s'!B19</f>
        <v>SHAWON</v>
      </c>
      <c r="D105" s="23"/>
      <c r="E105" s="23"/>
      <c r="F105" s="23"/>
      <c r="G105" s="23"/>
      <c r="H105" s="24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34">
        <v>14.0</v>
      </c>
      <c r="B106" s="35" t="s">
        <v>32</v>
      </c>
      <c r="C106" s="35" t="str">
        <f>'5'!C2</f>
        <v>3rd Tutorial
Exam (30)</v>
      </c>
      <c r="D106" s="35" t="str">
        <f>'5'!D2</f>
        <v>3rd Semester
Exam (70)</v>
      </c>
      <c r="E106" s="35" t="s">
        <v>35</v>
      </c>
      <c r="F106" s="36" t="s">
        <v>36</v>
      </c>
      <c r="G106" s="35" t="s">
        <v>37</v>
      </c>
      <c r="H106" s="35" t="s">
        <v>38</v>
      </c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>
      <c r="B107" s="37" t="s">
        <v>6</v>
      </c>
      <c r="C107" s="37">
        <f>'5t'!C19</f>
        <v>30</v>
      </c>
      <c r="D107" s="38">
        <f>'5s'!C19</f>
        <v>48</v>
      </c>
      <c r="E107" s="38">
        <f t="shared" ref="E107:E112" si="40">SUM(C107:D107)</f>
        <v>78</v>
      </c>
      <c r="F107" s="39" t="str">
        <f t="shared" ref="F107:F112" si="41">IF(E107&gt;=80,"A+",
IF(E107&gt;=70,"A",
IF(E107&gt;=60,"A-",
IF(E107&gt;=50,"B",
IF(E107&gt;=40,"C",
IF(E107&gt;=33,"D","F"))))))
</f>
        <v>A</v>
      </c>
      <c r="G107" s="38">
        <f t="shared" ref="G107:G112" si="42">IF(E107&gt;=80,5,
IF(E107&gt;=70,4,
IF(E107&gt;=60,3.5,
IF(E107&gt;=50,3,
IF(E107&gt;=40,2,
IF(E107&gt;=33,1,0))))))</f>
        <v>4</v>
      </c>
      <c r="H107" s="40">
        <f>AVERAGE(
VALUE(G107),
VALUE(G108),
VALUE(G109),
VALUE(G110),
VALUE(G111),
VALUE(G112))</f>
        <v>4.083333333</v>
      </c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B108" s="37" t="s">
        <v>39</v>
      </c>
      <c r="C108" s="37">
        <f>'5t'!D19</f>
        <v>30</v>
      </c>
      <c r="D108" s="38">
        <f>'5s'!D19</f>
        <v>33</v>
      </c>
      <c r="E108" s="38">
        <f t="shared" si="40"/>
        <v>63</v>
      </c>
      <c r="F108" s="39" t="str">
        <f t="shared" si="41"/>
        <v>A-</v>
      </c>
      <c r="G108" s="38">
        <f t="shared" si="42"/>
        <v>3.5</v>
      </c>
      <c r="H108" s="41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>
      <c r="B109" s="38" t="s">
        <v>40</v>
      </c>
      <c r="C109" s="37">
        <f>'5t'!E19</f>
        <v>20</v>
      </c>
      <c r="D109" s="38">
        <f>'5s'!E19</f>
        <v>58</v>
      </c>
      <c r="E109" s="38">
        <f t="shared" si="40"/>
        <v>78</v>
      </c>
      <c r="F109" s="39" t="str">
        <f t="shared" si="41"/>
        <v>A</v>
      </c>
      <c r="G109" s="38">
        <f t="shared" si="42"/>
        <v>4</v>
      </c>
      <c r="H109" s="41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B110" s="38" t="s">
        <v>41</v>
      </c>
      <c r="C110" s="38">
        <f>'5t'!F19</f>
        <v>30</v>
      </c>
      <c r="D110" s="38">
        <f>'5s'!F19</f>
        <v>51</v>
      </c>
      <c r="E110" s="38">
        <f t="shared" si="40"/>
        <v>81</v>
      </c>
      <c r="F110" s="39" t="str">
        <f t="shared" si="41"/>
        <v>A+</v>
      </c>
      <c r="G110" s="38">
        <f t="shared" si="42"/>
        <v>5</v>
      </c>
      <c r="H110" s="41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>
      <c r="B111" s="38" t="s">
        <v>10</v>
      </c>
      <c r="C111" s="38">
        <f>'5t'!G19</f>
        <v>27</v>
      </c>
      <c r="D111" s="38">
        <f>'5s'!G19</f>
        <v>28</v>
      </c>
      <c r="E111" s="38">
        <f t="shared" si="40"/>
        <v>55</v>
      </c>
      <c r="F111" s="39" t="str">
        <f t="shared" si="41"/>
        <v>B</v>
      </c>
      <c r="G111" s="38">
        <f t="shared" si="42"/>
        <v>3</v>
      </c>
      <c r="H111" s="41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B112" s="38" t="s">
        <v>11</v>
      </c>
      <c r="C112" s="38">
        <f>'5t'!H19</f>
        <v>30</v>
      </c>
      <c r="D112" s="38">
        <f>'5s'!H19</f>
        <v>57</v>
      </c>
      <c r="E112" s="38">
        <f t="shared" si="40"/>
        <v>87</v>
      </c>
      <c r="F112" s="39" t="str">
        <f t="shared" si="41"/>
        <v>A+</v>
      </c>
      <c r="G112" s="38">
        <f t="shared" si="42"/>
        <v>5</v>
      </c>
      <c r="H112" s="12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>
      <c r="A113" s="30" t="s">
        <v>3</v>
      </c>
      <c r="B113" s="31" t="s">
        <v>31</v>
      </c>
      <c r="C113" s="42" t="str">
        <f>'5s'!B20</f>
        <v>NUSRAT MAHI</v>
      </c>
      <c r="D113" s="23"/>
      <c r="E113" s="23"/>
      <c r="F113" s="23"/>
      <c r="G113" s="23"/>
      <c r="H113" s="24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34">
        <v>15.0</v>
      </c>
      <c r="B114" s="35" t="s">
        <v>32</v>
      </c>
      <c r="C114" s="35" t="str">
        <f>'5'!C2</f>
        <v>3rd Tutorial
Exam (30)</v>
      </c>
      <c r="D114" s="35" t="str">
        <f>'5'!D2</f>
        <v>3rd Semester
Exam (70)</v>
      </c>
      <c r="E114" s="35" t="s">
        <v>35</v>
      </c>
      <c r="F114" s="36" t="s">
        <v>36</v>
      </c>
      <c r="G114" s="35" t="s">
        <v>37</v>
      </c>
      <c r="H114" s="35" t="s">
        <v>38</v>
      </c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B115" s="37" t="s">
        <v>6</v>
      </c>
      <c r="C115" s="37">
        <f>'5t'!C20</f>
        <v>24</v>
      </c>
      <c r="D115" s="38">
        <f>'5s'!C20</f>
        <v>40</v>
      </c>
      <c r="E115" s="38">
        <f t="shared" ref="E115:E120" si="43">SUM(C115:D115)</f>
        <v>64</v>
      </c>
      <c r="F115" s="39" t="str">
        <f t="shared" ref="F115:F120" si="44">IF(E115&gt;=80,"A+",
IF(E115&gt;=70,"A",
IF(E115&gt;=60,"A-",
IF(E115&gt;=50,"B",
IF(E115&gt;=40,"C",
IF(E115&gt;=33,"D","F"))))))
</f>
        <v>A-</v>
      </c>
      <c r="G115" s="38">
        <f t="shared" ref="G115:G120" si="45">IF(E115&gt;=80,5,
IF(E115&gt;=70,4,
IF(E115&gt;=60,3.5,
IF(E115&gt;=50,3,
IF(E115&gt;=40,2,
IF(E115&gt;=33,1,0))))))</f>
        <v>3.5</v>
      </c>
      <c r="H115" s="40">
        <f>AVERAGE(
VALUE(G115),
VALUE(G116),
VALUE(G117),
VALUE(G118),
VALUE(G119),
VALUE(G120))</f>
        <v>2.083333333</v>
      </c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B116" s="37" t="s">
        <v>39</v>
      </c>
      <c r="C116" s="37">
        <f>'5t'!D20</f>
        <v>12</v>
      </c>
      <c r="D116" s="38">
        <f>'5s'!D20</f>
        <v>25</v>
      </c>
      <c r="E116" s="38">
        <f t="shared" si="43"/>
        <v>37</v>
      </c>
      <c r="F116" s="39" t="str">
        <f t="shared" si="44"/>
        <v>D</v>
      </c>
      <c r="G116" s="38">
        <f t="shared" si="45"/>
        <v>1</v>
      </c>
      <c r="H116" s="41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>
      <c r="B117" s="38" t="s">
        <v>40</v>
      </c>
      <c r="C117" s="37">
        <f>'5t'!E20</f>
        <v>15</v>
      </c>
      <c r="D117" s="38">
        <f>'5s'!E20</f>
        <v>25</v>
      </c>
      <c r="E117" s="38">
        <f t="shared" si="43"/>
        <v>40</v>
      </c>
      <c r="F117" s="39" t="str">
        <f t="shared" si="44"/>
        <v>C</v>
      </c>
      <c r="G117" s="38">
        <f t="shared" si="45"/>
        <v>2</v>
      </c>
      <c r="H117" s="41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B118" s="38" t="s">
        <v>41</v>
      </c>
      <c r="C118" s="38">
        <f>'5t'!F20</f>
        <v>14</v>
      </c>
      <c r="D118" s="38">
        <f>'5s'!F20</f>
        <v>24</v>
      </c>
      <c r="E118" s="38">
        <f t="shared" si="43"/>
        <v>38</v>
      </c>
      <c r="F118" s="39" t="str">
        <f t="shared" si="44"/>
        <v>D</v>
      </c>
      <c r="G118" s="38">
        <f t="shared" si="45"/>
        <v>1</v>
      </c>
      <c r="H118" s="41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B119" s="38" t="s">
        <v>10</v>
      </c>
      <c r="C119" s="38">
        <f>'5t'!G20</f>
        <v>20</v>
      </c>
      <c r="D119" s="38">
        <f>'5s'!G20</f>
        <v>24</v>
      </c>
      <c r="E119" s="38">
        <f t="shared" si="43"/>
        <v>44</v>
      </c>
      <c r="F119" s="39" t="str">
        <f t="shared" si="44"/>
        <v>C</v>
      </c>
      <c r="G119" s="38">
        <f t="shared" si="45"/>
        <v>2</v>
      </c>
      <c r="H119" s="41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B120" s="38" t="s">
        <v>11</v>
      </c>
      <c r="C120" s="38">
        <f>'5t'!H20</f>
        <v>25</v>
      </c>
      <c r="D120" s="38">
        <f>'5s'!H20</f>
        <v>32</v>
      </c>
      <c r="E120" s="38">
        <f t="shared" si="43"/>
        <v>57</v>
      </c>
      <c r="F120" s="39" t="str">
        <f t="shared" si="44"/>
        <v>B</v>
      </c>
      <c r="G120" s="38">
        <f t="shared" si="45"/>
        <v>3</v>
      </c>
      <c r="H120" s="12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30" t="s">
        <v>3</v>
      </c>
      <c r="B121" s="31" t="s">
        <v>31</v>
      </c>
      <c r="C121" s="42" t="str">
        <f>'5s'!B21</f>
        <v>MOSADDIK BILLAH FAHAD</v>
      </c>
      <c r="D121" s="23"/>
      <c r="E121" s="23"/>
      <c r="F121" s="23"/>
      <c r="G121" s="23"/>
      <c r="H121" s="24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34">
        <v>16.0</v>
      </c>
      <c r="B122" s="35" t="s">
        <v>32</v>
      </c>
      <c r="C122" s="35" t="str">
        <f>'5'!C2</f>
        <v>3rd Tutorial
Exam (30)</v>
      </c>
      <c r="D122" s="35" t="str">
        <f>'5'!D2</f>
        <v>3rd Semester
Exam (70)</v>
      </c>
      <c r="E122" s="35" t="s">
        <v>35</v>
      </c>
      <c r="F122" s="36" t="s">
        <v>36</v>
      </c>
      <c r="G122" s="35" t="s">
        <v>37</v>
      </c>
      <c r="H122" s="35" t="s">
        <v>38</v>
      </c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B123" s="37" t="s">
        <v>6</v>
      </c>
      <c r="C123" s="37">
        <f>'5t'!C21</f>
        <v>27</v>
      </c>
      <c r="D123" s="38" t="str">
        <f>'5s'!C21</f>
        <v/>
      </c>
      <c r="E123" s="38">
        <f t="shared" ref="E123:E128" si="46">SUM(C123:D123)</f>
        <v>27</v>
      </c>
      <c r="F123" s="39" t="str">
        <f t="shared" ref="F123:F128" si="47">IF(E123&gt;=80,"A+",
IF(E123&gt;=70,"A",
IF(E123&gt;=60,"A-",
IF(E123&gt;=50,"B",
IF(E123&gt;=40,"C",
IF(E123&gt;=33,"D","F"))))))
</f>
        <v>F</v>
      </c>
      <c r="G123" s="38" t="str">
        <f t="shared" ref="G123:G128" si="48">IF(E123&lt;33,"0.00",IF(E123&lt;40,"1.00",IF(E123&lt;50,"2.00",IF(E123&lt;60,"3.00",IF(E123&lt;70,"3.50",IF(E123&lt;80,"4.00","5.00"))))))</f>
        <v>0.00</v>
      </c>
      <c r="H123" s="40">
        <f>AVERAGE(
VALUE(G123),
VALUE(G124),
VALUE(G125),
VALUE(G126),
VALUE(G127),
VALUE(G128))</f>
        <v>0</v>
      </c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B124" s="37" t="s">
        <v>39</v>
      </c>
      <c r="C124" s="37">
        <f>'5t'!D21</f>
        <v>20</v>
      </c>
      <c r="D124" s="38" t="str">
        <f>'5s'!D21</f>
        <v/>
      </c>
      <c r="E124" s="38">
        <f t="shared" si="46"/>
        <v>20</v>
      </c>
      <c r="F124" s="39" t="str">
        <f t="shared" si="47"/>
        <v>F</v>
      </c>
      <c r="G124" s="38" t="str">
        <f t="shared" si="48"/>
        <v>0.00</v>
      </c>
      <c r="H124" s="41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>
      <c r="B125" s="38" t="s">
        <v>40</v>
      </c>
      <c r="C125" s="37">
        <f>'5t'!E21</f>
        <v>10</v>
      </c>
      <c r="D125" s="38" t="str">
        <f>'5s'!E21</f>
        <v/>
      </c>
      <c r="E125" s="38">
        <f t="shared" si="46"/>
        <v>10</v>
      </c>
      <c r="F125" s="39" t="str">
        <f t="shared" si="47"/>
        <v>F</v>
      </c>
      <c r="G125" s="38" t="str">
        <f t="shared" si="48"/>
        <v>0.00</v>
      </c>
      <c r="H125" s="41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B126" s="38" t="s">
        <v>41</v>
      </c>
      <c r="C126" s="38">
        <f>'5t'!F21</f>
        <v>20</v>
      </c>
      <c r="D126" s="38" t="str">
        <f>'5s'!F21</f>
        <v/>
      </c>
      <c r="E126" s="38">
        <f t="shared" si="46"/>
        <v>20</v>
      </c>
      <c r="F126" s="39" t="str">
        <f t="shared" si="47"/>
        <v>F</v>
      </c>
      <c r="G126" s="38" t="str">
        <f t="shared" si="48"/>
        <v>0.00</v>
      </c>
      <c r="H126" s="41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>
      <c r="B127" s="38" t="s">
        <v>10</v>
      </c>
      <c r="C127" s="38">
        <f>'5t'!G21</f>
        <v>20</v>
      </c>
      <c r="D127" s="38" t="str">
        <f>'5s'!G21</f>
        <v/>
      </c>
      <c r="E127" s="38">
        <f t="shared" si="46"/>
        <v>20</v>
      </c>
      <c r="F127" s="39" t="str">
        <f t="shared" si="47"/>
        <v>F</v>
      </c>
      <c r="G127" s="38" t="str">
        <f t="shared" si="48"/>
        <v>0.00</v>
      </c>
      <c r="H127" s="41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B128" s="38" t="s">
        <v>11</v>
      </c>
      <c r="C128" s="38">
        <f>'5t'!H21</f>
        <v>25</v>
      </c>
      <c r="D128" s="38" t="str">
        <f>'5s'!H28</f>
        <v/>
      </c>
      <c r="E128" s="38">
        <f t="shared" si="46"/>
        <v>25</v>
      </c>
      <c r="F128" s="39" t="str">
        <f t="shared" si="47"/>
        <v>F</v>
      </c>
      <c r="G128" s="38" t="str">
        <f t="shared" si="48"/>
        <v>0.00</v>
      </c>
      <c r="H128" s="12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</sheetData>
  <mergeCells count="48">
    <mergeCell ref="C1:H1"/>
    <mergeCell ref="A2:A8"/>
    <mergeCell ref="H3:H8"/>
    <mergeCell ref="C9:H9"/>
    <mergeCell ref="A10:A16"/>
    <mergeCell ref="C17:H17"/>
    <mergeCell ref="C25:H25"/>
    <mergeCell ref="H67:H72"/>
    <mergeCell ref="H75:H80"/>
    <mergeCell ref="H83:H88"/>
    <mergeCell ref="H91:H96"/>
    <mergeCell ref="H99:H104"/>
    <mergeCell ref="H107:H112"/>
    <mergeCell ref="H115:H120"/>
    <mergeCell ref="H123:H128"/>
    <mergeCell ref="H11:H16"/>
    <mergeCell ref="H19:H24"/>
    <mergeCell ref="H27:H32"/>
    <mergeCell ref="H35:H40"/>
    <mergeCell ref="H43:H48"/>
    <mergeCell ref="H51:H56"/>
    <mergeCell ref="H59:H64"/>
    <mergeCell ref="A74:A80"/>
    <mergeCell ref="A82:A88"/>
    <mergeCell ref="A90:A96"/>
    <mergeCell ref="A98:A104"/>
    <mergeCell ref="A106:A112"/>
    <mergeCell ref="A114:A120"/>
    <mergeCell ref="A122:A128"/>
    <mergeCell ref="A18:A24"/>
    <mergeCell ref="A26:A32"/>
    <mergeCell ref="A34:A40"/>
    <mergeCell ref="A42:A48"/>
    <mergeCell ref="A50:A56"/>
    <mergeCell ref="A58:A64"/>
    <mergeCell ref="A66:A72"/>
    <mergeCell ref="C89:H89"/>
    <mergeCell ref="C97:H97"/>
    <mergeCell ref="C105:H105"/>
    <mergeCell ref="C113:H113"/>
    <mergeCell ref="C121:H121"/>
    <mergeCell ref="C33:H33"/>
    <mergeCell ref="C41:H41"/>
    <mergeCell ref="C49:H49"/>
    <mergeCell ref="C57:H57"/>
    <mergeCell ref="C65:H65"/>
    <mergeCell ref="C73:H73"/>
    <mergeCell ref="C81:H8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75"/>
    <col customWidth="1" min="2" max="2" width="22.63"/>
    <col customWidth="1" min="3" max="3" width="17.5"/>
    <col customWidth="1" min="4" max="4" width="17.0"/>
    <col customWidth="1" min="5" max="22" width="14.38"/>
  </cols>
  <sheetData>
    <row r="1" ht="26.25" customHeight="1">
      <c r="A1" s="43" t="s">
        <v>0</v>
      </c>
      <c r="B1" s="23"/>
      <c r="C1" s="23"/>
      <c r="D1" s="2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15.75" customHeight="1">
      <c r="A2" s="44" t="s">
        <v>42</v>
      </c>
      <c r="B2" s="23"/>
      <c r="C2" s="23"/>
      <c r="D2" s="24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ht="15.75" customHeight="1">
      <c r="A3" s="45" t="s">
        <v>2</v>
      </c>
      <c r="B3" s="23"/>
      <c r="C3" s="23"/>
      <c r="D3" s="24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ht="15.75" customHeight="1">
      <c r="A4" s="20" t="s">
        <v>3</v>
      </c>
      <c r="B4" s="21" t="s">
        <v>4</v>
      </c>
      <c r="C4" s="22" t="s">
        <v>13</v>
      </c>
      <c r="D4" s="2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ht="15.75" customHeight="1">
      <c r="A5" s="12"/>
      <c r="B5" s="12"/>
      <c r="C5" s="14" t="s">
        <v>38</v>
      </c>
      <c r="D5" s="14" t="s">
        <v>13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ht="15.75" customHeight="1">
      <c r="A6" s="15">
        <v>1.0</v>
      </c>
      <c r="B6" s="16" t="s">
        <v>14</v>
      </c>
      <c r="C6" s="46">
        <f>'5'!H3</f>
        <v>5</v>
      </c>
      <c r="D6" s="15">
        <f t="shared" ref="D6:D21" si="1">RANK(C6,$C$6:$C$21)</f>
        <v>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ht="15.75" customHeight="1">
      <c r="A7" s="15">
        <v>2.0</v>
      </c>
      <c r="B7" s="16" t="s">
        <v>15</v>
      </c>
      <c r="C7" s="46">
        <f>'5'!H11</f>
        <v>5</v>
      </c>
      <c r="D7" s="15">
        <f t="shared" si="1"/>
        <v>1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ht="15.75" customHeight="1">
      <c r="A8" s="15">
        <v>3.0</v>
      </c>
      <c r="B8" s="16" t="s">
        <v>16</v>
      </c>
      <c r="C8" s="46">
        <f>'5'!H19</f>
        <v>5</v>
      </c>
      <c r="D8" s="15">
        <f t="shared" si="1"/>
        <v>1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ht="15.75" customHeight="1">
      <c r="A9" s="15">
        <v>4.0</v>
      </c>
      <c r="B9" s="16" t="s">
        <v>17</v>
      </c>
      <c r="C9" s="46">
        <f>'5'!H27</f>
        <v>5</v>
      </c>
      <c r="D9" s="15">
        <f t="shared" si="1"/>
        <v>1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ht="15.75" customHeight="1">
      <c r="A10" s="15">
        <v>5.0</v>
      </c>
      <c r="B10" s="16" t="s">
        <v>18</v>
      </c>
      <c r="C10" s="46">
        <f>'5'!H35</f>
        <v>5</v>
      </c>
      <c r="D10" s="15">
        <f t="shared" si="1"/>
        <v>1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ht="15.75" customHeight="1">
      <c r="A11" s="15">
        <v>6.0</v>
      </c>
      <c r="B11" s="16" t="s">
        <v>19</v>
      </c>
      <c r="C11" s="46">
        <f>'5'!H43</f>
        <v>4.166666667</v>
      </c>
      <c r="D11" s="15">
        <f t="shared" si="1"/>
        <v>7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ht="15.75" customHeight="1">
      <c r="A12" s="15">
        <v>7.0</v>
      </c>
      <c r="B12" s="16" t="s">
        <v>20</v>
      </c>
      <c r="C12" s="46">
        <f>'5'!H51</f>
        <v>3.833333333</v>
      </c>
      <c r="D12" s="15">
        <f t="shared" si="1"/>
        <v>10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ht="15.75" customHeight="1">
      <c r="A13" s="15">
        <v>8.0</v>
      </c>
      <c r="B13" s="16" t="s">
        <v>21</v>
      </c>
      <c r="C13" s="46">
        <f>'5'!H59</f>
        <v>4</v>
      </c>
      <c r="D13" s="15">
        <f t="shared" si="1"/>
        <v>9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ht="15.75" customHeight="1">
      <c r="A14" s="15">
        <v>9.0</v>
      </c>
      <c r="B14" s="16" t="s">
        <v>22</v>
      </c>
      <c r="C14" s="46">
        <f>'5'!H67</f>
        <v>4.416666667</v>
      </c>
      <c r="D14" s="15">
        <f t="shared" si="1"/>
        <v>6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ht="15.75" customHeight="1">
      <c r="A15" s="15">
        <v>10.0</v>
      </c>
      <c r="B15" s="16" t="s">
        <v>23</v>
      </c>
      <c r="C15" s="46">
        <f>'5'!H75</f>
        <v>2.75</v>
      </c>
      <c r="D15" s="15">
        <f t="shared" si="1"/>
        <v>14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ht="15.75" customHeight="1">
      <c r="A16" s="15">
        <v>11.0</v>
      </c>
      <c r="B16" s="16" t="s">
        <v>24</v>
      </c>
      <c r="C16" s="46">
        <f>'5'!H83</f>
        <v>3.583333333</v>
      </c>
      <c r="D16" s="15">
        <f t="shared" si="1"/>
        <v>11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ht="15.75" customHeight="1">
      <c r="A17" s="15">
        <v>12.0</v>
      </c>
      <c r="B17" s="16" t="s">
        <v>25</v>
      </c>
      <c r="C17" s="46">
        <f>'5'!H91</f>
        <v>3.416666667</v>
      </c>
      <c r="D17" s="15">
        <f t="shared" si="1"/>
        <v>12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ht="15.75" customHeight="1">
      <c r="A18" s="15">
        <v>13.0</v>
      </c>
      <c r="B18" s="16" t="s">
        <v>26</v>
      </c>
      <c r="C18" s="46">
        <f>'5'!H99</f>
        <v>3.25</v>
      </c>
      <c r="D18" s="15">
        <f t="shared" si="1"/>
        <v>13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ht="15.75" customHeight="1">
      <c r="A19" s="15">
        <v>14.0</v>
      </c>
      <c r="B19" s="16" t="s">
        <v>27</v>
      </c>
      <c r="C19" s="46">
        <f>'5'!H107</f>
        <v>4.083333333</v>
      </c>
      <c r="D19" s="15">
        <f t="shared" si="1"/>
        <v>8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15.75" customHeight="1">
      <c r="A20" s="15">
        <v>15.0</v>
      </c>
      <c r="B20" s="16" t="s">
        <v>28</v>
      </c>
      <c r="C20" s="46">
        <f>'5'!H115</f>
        <v>2.083333333</v>
      </c>
      <c r="D20" s="15">
        <f t="shared" si="1"/>
        <v>15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15.75" customHeight="1">
      <c r="A21" s="15">
        <v>16.0</v>
      </c>
      <c r="B21" s="16" t="s">
        <v>29</v>
      </c>
      <c r="C21" s="46">
        <f>'5'!H123</f>
        <v>0</v>
      </c>
      <c r="D21" s="15">
        <f t="shared" si="1"/>
        <v>16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15.75" customHeight="1">
      <c r="A22" s="19"/>
      <c r="B22" s="27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15.75" customHeight="1">
      <c r="A23" s="19"/>
      <c r="B23" s="27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15.75" customHeight="1">
      <c r="A24" s="19"/>
      <c r="B24" s="27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15.75" customHeight="1">
      <c r="A25" s="19"/>
      <c r="B25" s="27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15.75" customHeight="1">
      <c r="A26" s="19"/>
      <c r="B26" s="27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15.75" customHeight="1">
      <c r="A27" s="19"/>
      <c r="B27" s="27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15.75" customHeight="1">
      <c r="A28" s="19"/>
      <c r="B28" s="27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15.75" customHeight="1">
      <c r="A29" s="19"/>
      <c r="B29" s="27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15.75" customHeight="1">
      <c r="A30" s="19"/>
      <c r="B30" s="27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15.75" customHeight="1">
      <c r="A31" s="19"/>
      <c r="B31" s="27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15.75" customHeight="1">
      <c r="A32" s="19"/>
      <c r="B32" s="27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15.75" customHeight="1">
      <c r="A33" s="19"/>
      <c r="B33" s="27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5.75" customHeight="1">
      <c r="A34" s="19"/>
      <c r="B34" s="27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15.75" customHeight="1">
      <c r="A35" s="19"/>
      <c r="B35" s="2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75" customHeight="1">
      <c r="A36" s="19"/>
      <c r="B36" s="2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75" customHeight="1">
      <c r="A37" s="19"/>
      <c r="B37" s="27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5.75" customHeight="1">
      <c r="A38" s="19"/>
      <c r="B38" s="27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5.75" customHeight="1">
      <c r="A39" s="19"/>
      <c r="B39" s="27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75" customHeight="1">
      <c r="A40" s="19"/>
      <c r="B40" s="27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15.75" customHeight="1">
      <c r="A41" s="19"/>
      <c r="B41" s="27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75" customHeight="1">
      <c r="A42" s="19"/>
      <c r="B42" s="27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5.75" customHeight="1">
      <c r="A43" s="19"/>
      <c r="B43" s="27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15.75" customHeight="1">
      <c r="A44" s="19"/>
      <c r="B44" s="27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15.75" customHeight="1">
      <c r="A45" s="19"/>
      <c r="B45" s="27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5.75" customHeight="1">
      <c r="A46" s="19"/>
      <c r="B46" s="27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5.75" customHeight="1">
      <c r="A47" s="19"/>
      <c r="B47" s="27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75" customHeight="1">
      <c r="A48" s="19"/>
      <c r="B48" s="27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5.75" customHeight="1">
      <c r="A49" s="19"/>
      <c r="B49" s="27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5.75" customHeight="1">
      <c r="A50" s="19"/>
      <c r="B50" s="27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75" customHeight="1">
      <c r="A51" s="19"/>
      <c r="B51" s="27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75" customHeight="1">
      <c r="A52" s="19"/>
      <c r="B52" s="27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15.75" customHeight="1">
      <c r="A53" s="19"/>
      <c r="B53" s="27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15.75" customHeight="1">
      <c r="A54" s="19"/>
      <c r="B54" s="27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15.75" customHeight="1">
      <c r="A55" s="19"/>
      <c r="B55" s="27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15.75" customHeight="1">
      <c r="A56" s="19"/>
      <c r="B56" s="27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15.75" customHeight="1">
      <c r="A57" s="19"/>
      <c r="B57" s="27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15.75" customHeight="1">
      <c r="A58" s="19"/>
      <c r="B58" s="27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15.75" customHeight="1">
      <c r="A59" s="19"/>
      <c r="B59" s="27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75" customHeight="1">
      <c r="A60" s="19"/>
      <c r="B60" s="27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75" customHeight="1">
      <c r="A61" s="19"/>
      <c r="B61" s="27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15.75" customHeight="1">
      <c r="A62" s="19"/>
      <c r="B62" s="27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5.75" customHeight="1">
      <c r="A63" s="19"/>
      <c r="B63" s="27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5.75" customHeight="1">
      <c r="A64" s="19"/>
      <c r="B64" s="27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15.75" customHeight="1">
      <c r="A65" s="19"/>
      <c r="B65" s="27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15.75" customHeight="1">
      <c r="A66" s="19"/>
      <c r="B66" s="27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5.75" customHeight="1">
      <c r="A67" s="19"/>
      <c r="B67" s="27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75" customHeight="1">
      <c r="A68" s="19"/>
      <c r="B68" s="27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75" customHeight="1">
      <c r="A69" s="19"/>
      <c r="B69" s="27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5.75" customHeight="1">
      <c r="A70" s="19"/>
      <c r="B70" s="27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5.75" customHeight="1">
      <c r="A71" s="19"/>
      <c r="B71" s="27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5.75" customHeight="1">
      <c r="A72" s="19"/>
      <c r="B72" s="27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5.75" customHeight="1">
      <c r="A73" s="19"/>
      <c r="B73" s="27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5.75" customHeight="1">
      <c r="A74" s="19"/>
      <c r="B74" s="27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5.75" customHeight="1">
      <c r="A75" s="19"/>
      <c r="B75" s="27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5.75" customHeight="1">
      <c r="A76" s="19"/>
      <c r="B76" s="27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5.75" customHeight="1">
      <c r="A77" s="19"/>
      <c r="B77" s="27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75" customHeight="1">
      <c r="A78" s="19"/>
      <c r="B78" s="27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5.75" customHeight="1">
      <c r="A79" s="19"/>
      <c r="B79" s="27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5.75" customHeight="1">
      <c r="A80" s="19"/>
      <c r="B80" s="27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5.75" customHeight="1">
      <c r="A81" s="19"/>
      <c r="B81" s="27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15.75" customHeight="1">
      <c r="A82" s="19"/>
      <c r="B82" s="27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15.75" customHeight="1">
      <c r="A83" s="19"/>
      <c r="B83" s="27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15.75" customHeight="1">
      <c r="A84" s="19"/>
      <c r="B84" s="27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15.75" customHeight="1">
      <c r="A85" s="19"/>
      <c r="B85" s="27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5.75" customHeight="1">
      <c r="A86" s="19"/>
      <c r="B86" s="27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15.75" customHeight="1">
      <c r="A87" s="19"/>
      <c r="B87" s="27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15.75" customHeight="1">
      <c r="A88" s="19"/>
      <c r="B88" s="27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15.75" customHeight="1">
      <c r="A89" s="19"/>
      <c r="B89" s="27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15.75" customHeight="1">
      <c r="A90" s="19"/>
      <c r="B90" s="27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5.75" customHeight="1">
      <c r="A91" s="19"/>
      <c r="B91" s="27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15.75" customHeight="1">
      <c r="A92" s="19"/>
      <c r="B92" s="27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15.75" customHeight="1">
      <c r="A93" s="19"/>
      <c r="B93" s="27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75" customHeight="1">
      <c r="A94" s="19"/>
      <c r="B94" s="27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75" customHeight="1">
      <c r="A95" s="19"/>
      <c r="B95" s="27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5.75" customHeight="1">
      <c r="A96" s="19"/>
      <c r="B96" s="27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5.75" customHeight="1">
      <c r="A97" s="19"/>
      <c r="B97" s="27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5.75" customHeight="1">
      <c r="A98" s="19"/>
      <c r="B98" s="27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5.75" customHeight="1">
      <c r="A99" s="19"/>
      <c r="B99" s="27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5.75" customHeight="1">
      <c r="A100" s="19"/>
      <c r="B100" s="27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75" customHeight="1">
      <c r="A101" s="19"/>
      <c r="B101" s="27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5.75" customHeight="1">
      <c r="A102" s="19"/>
      <c r="B102" s="27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15.75" customHeight="1">
      <c r="A103" s="19"/>
      <c r="B103" s="27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5.75" customHeight="1">
      <c r="A104" s="19"/>
      <c r="B104" s="27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15.75" customHeight="1">
      <c r="A105" s="19"/>
      <c r="B105" s="27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15.75" customHeight="1">
      <c r="A106" s="19"/>
      <c r="B106" s="27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15.75" customHeight="1">
      <c r="A107" s="19"/>
      <c r="B107" s="27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15.75" customHeight="1">
      <c r="A108" s="19"/>
      <c r="B108" s="27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15.75" customHeight="1">
      <c r="A109" s="19"/>
      <c r="B109" s="27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15.75" customHeight="1">
      <c r="A110" s="19"/>
      <c r="B110" s="27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15.75" customHeight="1">
      <c r="A111" s="19"/>
      <c r="B111" s="27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15.75" customHeight="1">
      <c r="A112" s="19"/>
      <c r="B112" s="27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75" customHeight="1">
      <c r="A113" s="19"/>
      <c r="B113" s="27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15.75" customHeight="1">
      <c r="A114" s="19"/>
      <c r="B114" s="27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15.75" customHeight="1">
      <c r="A115" s="19"/>
      <c r="B115" s="27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15.75" customHeight="1">
      <c r="A116" s="19"/>
      <c r="B116" s="27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15.75" customHeight="1">
      <c r="A117" s="19"/>
      <c r="B117" s="27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5.75" customHeight="1">
      <c r="A118" s="19"/>
      <c r="B118" s="27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15.75" customHeight="1">
      <c r="A119" s="19"/>
      <c r="B119" s="27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5.75" customHeight="1">
      <c r="A120" s="19"/>
      <c r="B120" s="27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5.75" customHeight="1">
      <c r="A121" s="19"/>
      <c r="B121" s="27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15.75" customHeight="1">
      <c r="A122" s="19"/>
      <c r="B122" s="27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15.75" customHeight="1">
      <c r="A123" s="19"/>
      <c r="B123" s="27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15.75" customHeight="1">
      <c r="A124" s="19"/>
      <c r="B124" s="27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15.75" customHeight="1">
      <c r="A125" s="19"/>
      <c r="B125" s="27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5.75" customHeight="1">
      <c r="A126" s="19"/>
      <c r="B126" s="27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5.75" customHeight="1">
      <c r="A127" s="19"/>
      <c r="B127" s="27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15.75" customHeight="1">
      <c r="A128" s="19"/>
      <c r="B128" s="27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5.75" customHeight="1">
      <c r="A129" s="19"/>
      <c r="B129" s="27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5.75" customHeight="1">
      <c r="A130" s="19"/>
      <c r="B130" s="27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15.75" customHeight="1">
      <c r="A131" s="19"/>
      <c r="B131" s="27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15.75" customHeight="1">
      <c r="A132" s="19"/>
      <c r="B132" s="27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15.75" customHeight="1">
      <c r="A133" s="19"/>
      <c r="B133" s="27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5.75" customHeight="1">
      <c r="A134" s="19"/>
      <c r="B134" s="27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15.75" customHeight="1">
      <c r="A135" s="19"/>
      <c r="B135" s="27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15.75" customHeight="1">
      <c r="A136" s="19"/>
      <c r="B136" s="27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15.75" customHeight="1">
      <c r="A137" s="19"/>
      <c r="B137" s="27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5.75" customHeight="1">
      <c r="A138" s="19"/>
      <c r="B138" s="27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15.75" customHeight="1">
      <c r="A139" s="19"/>
      <c r="B139" s="27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15.75" customHeight="1">
      <c r="A140" s="19"/>
      <c r="B140" s="27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15.75" customHeight="1">
      <c r="A141" s="19"/>
      <c r="B141" s="27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15.75" customHeight="1">
      <c r="A142" s="19"/>
      <c r="B142" s="27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15.75" customHeight="1">
      <c r="A143" s="19"/>
      <c r="B143" s="27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5.75" customHeight="1">
      <c r="A144" s="19"/>
      <c r="B144" s="27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15.75" customHeight="1">
      <c r="A145" s="19"/>
      <c r="B145" s="27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15.75" customHeight="1">
      <c r="A146" s="19"/>
      <c r="B146" s="27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15.75" customHeight="1">
      <c r="A147" s="19"/>
      <c r="B147" s="27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15.75" customHeight="1">
      <c r="A148" s="19"/>
      <c r="B148" s="27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15.75" customHeight="1">
      <c r="A149" s="19"/>
      <c r="B149" s="27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15.75" customHeight="1">
      <c r="A150" s="19"/>
      <c r="B150" s="27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15.75" customHeight="1">
      <c r="A151" s="19"/>
      <c r="B151" s="27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15.75" customHeight="1">
      <c r="A152" s="19"/>
      <c r="B152" s="27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15.75" customHeight="1">
      <c r="A153" s="19"/>
      <c r="B153" s="27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15.75" customHeight="1">
      <c r="A154" s="19"/>
      <c r="B154" s="27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15.75" customHeight="1">
      <c r="A155" s="19"/>
      <c r="B155" s="27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15.75" customHeight="1">
      <c r="A156" s="19"/>
      <c r="B156" s="27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15.75" customHeight="1">
      <c r="A157" s="19"/>
      <c r="B157" s="27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15.75" customHeight="1">
      <c r="A158" s="19"/>
      <c r="B158" s="27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15.75" customHeight="1">
      <c r="A159" s="19"/>
      <c r="B159" s="27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15.75" customHeight="1">
      <c r="A160" s="19"/>
      <c r="B160" s="27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15.75" customHeight="1">
      <c r="A161" s="19"/>
      <c r="B161" s="27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15.75" customHeight="1">
      <c r="A162" s="19"/>
      <c r="B162" s="27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15.75" customHeight="1">
      <c r="A163" s="19"/>
      <c r="B163" s="27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15.75" customHeight="1">
      <c r="A164" s="19"/>
      <c r="B164" s="27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15.75" customHeight="1">
      <c r="A165" s="19"/>
      <c r="B165" s="27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15.75" customHeight="1">
      <c r="A166" s="19"/>
      <c r="B166" s="27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15.75" customHeight="1">
      <c r="A167" s="19"/>
      <c r="B167" s="27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15.75" customHeight="1">
      <c r="A168" s="19"/>
      <c r="B168" s="27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15.75" customHeight="1">
      <c r="A169" s="19"/>
      <c r="B169" s="27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15.75" customHeight="1">
      <c r="A170" s="19"/>
      <c r="B170" s="27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15.75" customHeight="1">
      <c r="A171" s="19"/>
      <c r="B171" s="27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15.75" customHeight="1">
      <c r="A172" s="19"/>
      <c r="B172" s="27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15.75" customHeight="1">
      <c r="A173" s="19"/>
      <c r="B173" s="27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15.75" customHeight="1">
      <c r="A174" s="19"/>
      <c r="B174" s="27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15.75" customHeight="1">
      <c r="A175" s="19"/>
      <c r="B175" s="27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15.75" customHeight="1">
      <c r="A176" s="19"/>
      <c r="B176" s="27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15.75" customHeight="1">
      <c r="A177" s="19"/>
      <c r="B177" s="27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15.75" customHeight="1">
      <c r="A178" s="19"/>
      <c r="B178" s="27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15.75" customHeight="1">
      <c r="A179" s="19"/>
      <c r="B179" s="27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15.75" customHeight="1">
      <c r="A180" s="19"/>
      <c r="B180" s="27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15.75" customHeight="1">
      <c r="A181" s="19"/>
      <c r="B181" s="27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15.75" customHeight="1">
      <c r="A182" s="19"/>
      <c r="B182" s="27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15.75" customHeight="1">
      <c r="A183" s="19"/>
      <c r="B183" s="27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15.75" customHeight="1">
      <c r="A184" s="19"/>
      <c r="B184" s="27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15.75" customHeight="1">
      <c r="A185" s="19"/>
      <c r="B185" s="27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15.75" customHeight="1">
      <c r="A186" s="19"/>
      <c r="B186" s="27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15.75" customHeight="1">
      <c r="A187" s="19"/>
      <c r="B187" s="27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15.75" customHeight="1">
      <c r="A188" s="19"/>
      <c r="B188" s="27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15.75" customHeight="1">
      <c r="A189" s="19"/>
      <c r="B189" s="27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15.75" customHeight="1">
      <c r="A190" s="19"/>
      <c r="B190" s="27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15.75" customHeight="1">
      <c r="A191" s="19"/>
      <c r="B191" s="27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15.75" customHeight="1">
      <c r="A192" s="19"/>
      <c r="B192" s="27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15.75" customHeight="1">
      <c r="A193" s="19"/>
      <c r="B193" s="27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15.75" customHeight="1">
      <c r="A194" s="19"/>
      <c r="B194" s="27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15.75" customHeight="1">
      <c r="A195" s="19"/>
      <c r="B195" s="27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15.75" customHeight="1">
      <c r="A196" s="19"/>
      <c r="B196" s="27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15.75" customHeight="1">
      <c r="A197" s="19"/>
      <c r="B197" s="27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15.75" customHeight="1">
      <c r="A198" s="19"/>
      <c r="B198" s="27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15.75" customHeight="1">
      <c r="A199" s="19"/>
      <c r="B199" s="27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15.75" customHeight="1">
      <c r="A200" s="19"/>
      <c r="B200" s="27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15.75" customHeight="1">
      <c r="A201" s="19"/>
      <c r="B201" s="27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15.75" customHeight="1">
      <c r="A202" s="19"/>
      <c r="B202" s="27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15.75" customHeight="1">
      <c r="A203" s="19"/>
      <c r="B203" s="27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15.75" customHeight="1">
      <c r="A204" s="19"/>
      <c r="B204" s="27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15.75" customHeight="1">
      <c r="A205" s="19"/>
      <c r="B205" s="27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15.75" customHeight="1">
      <c r="A206" s="19"/>
      <c r="B206" s="27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15.75" customHeight="1">
      <c r="A207" s="19"/>
      <c r="B207" s="27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15.75" customHeight="1">
      <c r="A208" s="19"/>
      <c r="B208" s="27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15.75" customHeight="1">
      <c r="A209" s="19"/>
      <c r="B209" s="27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15.75" customHeight="1">
      <c r="A210" s="19"/>
      <c r="B210" s="27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15.75" customHeight="1">
      <c r="A211" s="19"/>
      <c r="B211" s="27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15.75" customHeight="1">
      <c r="A212" s="19"/>
      <c r="B212" s="27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15.75" customHeight="1">
      <c r="A213" s="19"/>
      <c r="B213" s="27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15.75" customHeight="1">
      <c r="A214" s="19"/>
      <c r="B214" s="27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15.75" customHeight="1">
      <c r="A215" s="19"/>
      <c r="B215" s="27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15.75" customHeight="1">
      <c r="A216" s="19"/>
      <c r="B216" s="27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15.75" customHeight="1">
      <c r="A217" s="19"/>
      <c r="B217" s="27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15.75" customHeight="1">
      <c r="A218" s="19"/>
      <c r="B218" s="27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15.75" customHeight="1">
      <c r="A219" s="28"/>
      <c r="B219" s="2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ht="15.75" customHeight="1">
      <c r="A220" s="28"/>
      <c r="B220" s="2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 ht="15.75" customHeight="1">
      <c r="A221" s="28"/>
      <c r="B221" s="2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 ht="15.75" customHeight="1">
      <c r="A222" s="28"/>
      <c r="B222" s="2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ht="15.75" customHeight="1">
      <c r="A223" s="28"/>
      <c r="B223" s="2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 ht="15.75" customHeight="1">
      <c r="A224" s="28"/>
      <c r="B224" s="2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 ht="15.75" customHeight="1">
      <c r="A225" s="28"/>
      <c r="B225" s="2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 ht="15.75" customHeight="1">
      <c r="A226" s="28"/>
      <c r="B226" s="2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 ht="15.75" customHeight="1">
      <c r="A227" s="28"/>
      <c r="B227" s="2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 ht="15.75" customHeight="1">
      <c r="A228" s="28"/>
      <c r="B228" s="2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 ht="15.75" customHeight="1">
      <c r="A229" s="28"/>
      <c r="B229" s="2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 ht="15.75" customHeight="1">
      <c r="A230" s="28"/>
      <c r="B230" s="2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 ht="15.75" customHeight="1">
      <c r="A231" s="28"/>
      <c r="B231" s="2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 ht="15.75" customHeight="1">
      <c r="A232" s="28"/>
      <c r="B232" s="2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 ht="15.75" customHeight="1">
      <c r="A233" s="28"/>
      <c r="B233" s="2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 ht="15.75" customHeight="1">
      <c r="A234" s="28"/>
      <c r="B234" s="2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 ht="15.75" customHeight="1">
      <c r="A235" s="28"/>
      <c r="B235" s="2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 ht="15.75" customHeight="1">
      <c r="A236" s="28"/>
      <c r="B236" s="2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 ht="15.75" customHeight="1">
      <c r="A237" s="28"/>
      <c r="B237" s="2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 ht="15.75" customHeight="1">
      <c r="A238" s="28"/>
      <c r="B238" s="2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 ht="15.75" customHeight="1">
      <c r="A239" s="28"/>
      <c r="B239" s="2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 ht="15.75" customHeight="1">
      <c r="A240" s="28"/>
      <c r="B240" s="2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 ht="15.75" customHeight="1">
      <c r="A241" s="28"/>
      <c r="B241" s="2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 ht="15.75" customHeight="1">
      <c r="A242" s="28"/>
      <c r="B242" s="2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 ht="15.75" customHeight="1">
      <c r="A243" s="28"/>
      <c r="B243" s="2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 ht="15.75" customHeight="1">
      <c r="A244" s="28"/>
      <c r="B244" s="2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 ht="15.75" customHeight="1">
      <c r="A245" s="28"/>
      <c r="B245" s="2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 ht="15.75" customHeight="1">
      <c r="A246" s="28"/>
      <c r="B246" s="2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 ht="15.75" customHeight="1">
      <c r="A247" s="28"/>
      <c r="B247" s="2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 ht="15.75" customHeight="1">
      <c r="A248" s="28"/>
      <c r="B248" s="2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 ht="15.75" customHeight="1">
      <c r="A249" s="28"/>
      <c r="B249" s="2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 ht="15.75" customHeight="1">
      <c r="A250" s="28"/>
      <c r="B250" s="2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 ht="15.75" customHeight="1">
      <c r="A251" s="28"/>
      <c r="B251" s="2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 ht="15.75" customHeight="1">
      <c r="A252" s="28"/>
      <c r="B252" s="2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 ht="15.75" customHeight="1">
      <c r="A253" s="28"/>
      <c r="B253" s="2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 ht="15.75" customHeight="1">
      <c r="A254" s="28"/>
      <c r="B254" s="2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 ht="15.75" customHeight="1">
      <c r="A255" s="28"/>
      <c r="B255" s="2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 ht="15.75" customHeight="1">
      <c r="A256" s="28"/>
      <c r="B256" s="2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 ht="15.75" customHeight="1">
      <c r="A257" s="28"/>
      <c r="B257" s="2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 ht="15.75" customHeight="1">
      <c r="A258" s="28"/>
      <c r="B258" s="2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 ht="15.75" customHeight="1">
      <c r="A259" s="28"/>
      <c r="B259" s="2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 ht="15.75" customHeight="1">
      <c r="A260" s="28"/>
      <c r="B260" s="2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 ht="15.75" customHeight="1">
      <c r="A261" s="28"/>
      <c r="B261" s="2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 ht="15.75" customHeight="1">
      <c r="A262" s="28"/>
      <c r="B262" s="2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 ht="15.75" customHeight="1">
      <c r="A263" s="28"/>
      <c r="B263" s="2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 ht="15.75" customHeight="1">
      <c r="A264" s="28"/>
      <c r="B264" s="2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 ht="15.75" customHeight="1">
      <c r="A265" s="28"/>
      <c r="B265" s="2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 ht="15.75" customHeight="1">
      <c r="A266" s="28"/>
      <c r="B266" s="2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 ht="15.75" customHeight="1">
      <c r="A267" s="28"/>
      <c r="B267" s="2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 ht="15.75" customHeight="1">
      <c r="A268" s="28"/>
      <c r="B268" s="2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 ht="15.75" customHeight="1">
      <c r="A269" s="28"/>
      <c r="B269" s="2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 ht="15.75" customHeight="1">
      <c r="A270" s="28"/>
      <c r="B270" s="2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 ht="15.75" customHeight="1">
      <c r="A271" s="28"/>
      <c r="B271" s="2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 ht="15.75" customHeight="1">
      <c r="A272" s="28"/>
      <c r="B272" s="2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 ht="15.75" customHeight="1">
      <c r="A273" s="28"/>
      <c r="B273" s="2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 ht="15.75" customHeight="1">
      <c r="A274" s="28"/>
      <c r="B274" s="2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 ht="15.75" customHeight="1">
      <c r="A275" s="28"/>
      <c r="B275" s="2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 ht="15.75" customHeight="1">
      <c r="A276" s="28"/>
      <c r="B276" s="2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 ht="15.75" customHeight="1">
      <c r="A277" s="28"/>
      <c r="B277" s="2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 ht="15.75" customHeight="1">
      <c r="A278" s="28"/>
      <c r="B278" s="2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 ht="15.75" customHeight="1">
      <c r="A279" s="28"/>
      <c r="B279" s="2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 ht="15.75" customHeight="1">
      <c r="A280" s="28"/>
      <c r="B280" s="2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 ht="15.75" customHeight="1">
      <c r="A281" s="28"/>
      <c r="B281" s="2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 ht="15.75" customHeight="1">
      <c r="A282" s="28"/>
      <c r="B282" s="2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 ht="15.75" customHeight="1">
      <c r="A283" s="28"/>
      <c r="B283" s="2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 ht="15.75" customHeight="1">
      <c r="A284" s="28"/>
      <c r="B284" s="2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 ht="15.75" customHeight="1">
      <c r="A285" s="28"/>
      <c r="B285" s="2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 ht="15.75" customHeight="1">
      <c r="A286" s="28"/>
      <c r="B286" s="2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 ht="15.75" customHeight="1">
      <c r="A287" s="28"/>
      <c r="B287" s="2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 ht="15.75" customHeight="1">
      <c r="A288" s="28"/>
      <c r="B288" s="2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 ht="15.75" customHeight="1">
      <c r="A289" s="28"/>
      <c r="B289" s="2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 ht="15.75" customHeight="1">
      <c r="A290" s="28"/>
      <c r="B290" s="2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 ht="15.75" customHeight="1">
      <c r="A291" s="28"/>
      <c r="B291" s="2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 ht="15.75" customHeight="1">
      <c r="A292" s="28"/>
      <c r="B292" s="2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 ht="15.75" customHeight="1">
      <c r="A293" s="28"/>
      <c r="B293" s="2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 ht="15.75" customHeight="1">
      <c r="A294" s="28"/>
      <c r="B294" s="2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 ht="15.75" customHeight="1">
      <c r="A295" s="28"/>
      <c r="B295" s="2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 ht="15.75" customHeight="1">
      <c r="A296" s="28"/>
      <c r="B296" s="2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 ht="15.75" customHeight="1">
      <c r="A297" s="28"/>
      <c r="B297" s="2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 ht="15.75" customHeight="1">
      <c r="A298" s="28"/>
      <c r="B298" s="2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 ht="15.75" customHeight="1">
      <c r="A299" s="28"/>
      <c r="B299" s="2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 ht="15.75" customHeight="1">
      <c r="A300" s="28"/>
      <c r="B300" s="2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 ht="15.75" customHeight="1">
      <c r="A301" s="28"/>
      <c r="B301" s="2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 ht="15.75" customHeight="1">
      <c r="A302" s="28"/>
      <c r="B302" s="2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 ht="15.75" customHeight="1">
      <c r="A303" s="28"/>
      <c r="B303" s="2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 ht="15.75" customHeight="1">
      <c r="A304" s="28"/>
      <c r="B304" s="2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 ht="15.75" customHeight="1">
      <c r="A305" s="28"/>
      <c r="B305" s="2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 ht="15.75" customHeight="1">
      <c r="A306" s="28"/>
      <c r="B306" s="2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 ht="15.75" customHeight="1">
      <c r="A307" s="28"/>
      <c r="B307" s="2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 ht="15.75" customHeight="1">
      <c r="A308" s="28"/>
      <c r="B308" s="2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 ht="15.75" customHeight="1">
      <c r="A309" s="28"/>
      <c r="B309" s="2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 ht="15.75" customHeight="1">
      <c r="A310" s="28"/>
      <c r="B310" s="2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 ht="15.75" customHeight="1">
      <c r="A311" s="28"/>
      <c r="B311" s="29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 ht="15.75" customHeight="1">
      <c r="A312" s="28"/>
      <c r="B312" s="29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 ht="15.75" customHeight="1">
      <c r="A313" s="28"/>
      <c r="B313" s="29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 ht="15.75" customHeight="1">
      <c r="A314" s="28"/>
      <c r="B314" s="29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 ht="15.75" customHeight="1">
      <c r="A315" s="28"/>
      <c r="B315" s="29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 ht="15.75" customHeight="1">
      <c r="A316" s="28"/>
      <c r="B316" s="29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 ht="15.75" customHeight="1">
      <c r="A317" s="28"/>
      <c r="B317" s="29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 ht="15.75" customHeight="1">
      <c r="A318" s="28"/>
      <c r="B318" s="29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 ht="15.75" customHeight="1">
      <c r="A319" s="28"/>
      <c r="B319" s="29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 ht="15.75" customHeight="1">
      <c r="A320" s="28"/>
      <c r="B320" s="29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 ht="15.75" customHeight="1">
      <c r="A321" s="28"/>
      <c r="B321" s="29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 ht="15.75" customHeight="1">
      <c r="A322" s="28"/>
      <c r="B322" s="29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 ht="15.75" customHeight="1">
      <c r="A323" s="28"/>
      <c r="B323" s="29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 ht="15.75" customHeight="1">
      <c r="A324" s="28"/>
      <c r="B324" s="29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 ht="15.75" customHeight="1">
      <c r="A325" s="28"/>
      <c r="B325" s="29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 ht="15.75" customHeight="1">
      <c r="A326" s="28"/>
      <c r="B326" s="29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 ht="15.75" customHeight="1">
      <c r="A327" s="28"/>
      <c r="B327" s="29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 ht="15.75" customHeight="1">
      <c r="A328" s="28"/>
      <c r="B328" s="29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 ht="15.75" customHeight="1">
      <c r="A329" s="28"/>
      <c r="B329" s="29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 ht="15.75" customHeight="1">
      <c r="A330" s="28"/>
      <c r="B330" s="29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 ht="15.75" customHeight="1">
      <c r="A331" s="28"/>
      <c r="B331" s="29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 ht="15.75" customHeight="1">
      <c r="A332" s="28"/>
      <c r="B332" s="29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 ht="15.75" customHeight="1">
      <c r="A333" s="28"/>
      <c r="B333" s="29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ht="15.75" customHeight="1">
      <c r="A334" s="28"/>
      <c r="B334" s="29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 ht="15.75" customHeight="1">
      <c r="A335" s="28"/>
      <c r="B335" s="29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 ht="15.75" customHeight="1">
      <c r="A336" s="28"/>
      <c r="B336" s="29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 ht="15.75" customHeight="1">
      <c r="A337" s="28"/>
      <c r="B337" s="29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 ht="15.75" customHeight="1">
      <c r="A338" s="28"/>
      <c r="B338" s="29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 ht="15.75" customHeight="1">
      <c r="A339" s="28"/>
      <c r="B339" s="29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 ht="15.75" customHeight="1">
      <c r="A340" s="28"/>
      <c r="B340" s="29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 ht="15.75" customHeight="1">
      <c r="A341" s="28"/>
      <c r="B341" s="29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 ht="15.75" customHeight="1">
      <c r="A342" s="28"/>
      <c r="B342" s="29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ht="15.75" customHeight="1">
      <c r="A343" s="28"/>
      <c r="B343" s="29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 ht="15.75" customHeight="1">
      <c r="A344" s="28"/>
      <c r="B344" s="29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 ht="15.75" customHeight="1">
      <c r="A345" s="28"/>
      <c r="B345" s="29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 ht="15.75" customHeight="1">
      <c r="A346" s="28"/>
      <c r="B346" s="29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 ht="15.75" customHeight="1">
      <c r="A347" s="28"/>
      <c r="B347" s="29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 ht="15.75" customHeight="1">
      <c r="A348" s="28"/>
      <c r="B348" s="29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 ht="15.75" customHeight="1">
      <c r="A349" s="28"/>
      <c r="B349" s="29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 ht="15.75" customHeight="1">
      <c r="A350" s="28"/>
      <c r="B350" s="29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 ht="15.75" customHeight="1">
      <c r="A351" s="28"/>
      <c r="B351" s="29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ht="15.75" customHeight="1">
      <c r="A352" s="28"/>
      <c r="B352" s="29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 ht="15.75" customHeight="1">
      <c r="A353" s="28"/>
      <c r="B353" s="29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 ht="15.75" customHeight="1">
      <c r="A354" s="28"/>
      <c r="B354" s="29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 ht="15.75" customHeight="1">
      <c r="A355" s="28"/>
      <c r="B355" s="29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 ht="15.75" customHeight="1">
      <c r="A356" s="28"/>
      <c r="B356" s="29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 ht="15.75" customHeight="1">
      <c r="A357" s="28"/>
      <c r="B357" s="29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 ht="15.75" customHeight="1">
      <c r="A358" s="28"/>
      <c r="B358" s="29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 ht="15.75" customHeight="1">
      <c r="A359" s="28"/>
      <c r="B359" s="29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 ht="15.75" customHeight="1">
      <c r="A360" s="28"/>
      <c r="B360" s="29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 ht="15.75" customHeight="1">
      <c r="A361" s="28"/>
      <c r="B361" s="29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 ht="15.75" customHeight="1">
      <c r="A362" s="28"/>
      <c r="B362" s="29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 ht="15.75" customHeight="1">
      <c r="A363" s="28"/>
      <c r="B363" s="29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ht="15.75" customHeight="1">
      <c r="A364" s="28"/>
      <c r="B364" s="29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 ht="15.75" customHeight="1">
      <c r="A365" s="28"/>
      <c r="B365" s="29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 ht="15.75" customHeight="1">
      <c r="A366" s="28"/>
      <c r="B366" s="29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 ht="15.75" customHeight="1">
      <c r="A367" s="28"/>
      <c r="B367" s="29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 ht="15.75" customHeight="1">
      <c r="A368" s="28"/>
      <c r="B368" s="29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 ht="15.75" customHeight="1">
      <c r="A369" s="28"/>
      <c r="B369" s="29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 ht="15.75" customHeight="1">
      <c r="A370" s="28"/>
      <c r="B370" s="29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 ht="15.75" customHeight="1">
      <c r="A371" s="28"/>
      <c r="B371" s="29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 ht="15.75" customHeight="1">
      <c r="A372" s="28"/>
      <c r="B372" s="29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ht="15.75" customHeight="1">
      <c r="A373" s="28"/>
      <c r="B373" s="29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 ht="15.75" customHeight="1">
      <c r="A374" s="28"/>
      <c r="B374" s="29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 ht="15.75" customHeight="1">
      <c r="A375" s="28"/>
      <c r="B375" s="29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 ht="15.75" customHeight="1">
      <c r="A376" s="28"/>
      <c r="B376" s="29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 ht="15.75" customHeight="1">
      <c r="A377" s="28"/>
      <c r="B377" s="29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 ht="15.75" customHeight="1">
      <c r="A378" s="28"/>
      <c r="B378" s="29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 ht="15.75" customHeight="1">
      <c r="A379" s="28"/>
      <c r="B379" s="29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 ht="15.75" customHeight="1">
      <c r="A380" s="28"/>
      <c r="B380" s="29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 ht="15.75" customHeight="1">
      <c r="A381" s="28"/>
      <c r="B381" s="29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 ht="15.75" customHeight="1">
      <c r="A382" s="28"/>
      <c r="B382" s="29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 ht="15.75" customHeight="1">
      <c r="A383" s="28"/>
      <c r="B383" s="29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ht="15.75" customHeight="1">
      <c r="A384" s="28"/>
      <c r="B384" s="29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 ht="15.75" customHeight="1">
      <c r="A385" s="28"/>
      <c r="B385" s="29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 ht="15.75" customHeight="1">
      <c r="A386" s="28"/>
      <c r="B386" s="29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 ht="15.75" customHeight="1">
      <c r="A387" s="28"/>
      <c r="B387" s="29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 ht="15.75" customHeight="1">
      <c r="A388" s="28"/>
      <c r="B388" s="29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 ht="15.75" customHeight="1">
      <c r="A389" s="28"/>
      <c r="B389" s="29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 ht="15.75" customHeight="1">
      <c r="A390" s="28"/>
      <c r="B390" s="29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 ht="15.75" customHeight="1">
      <c r="A391" s="28"/>
      <c r="B391" s="29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 ht="15.75" customHeight="1">
      <c r="A392" s="28"/>
      <c r="B392" s="29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 ht="15.75" customHeight="1">
      <c r="A393" s="28"/>
      <c r="B393" s="29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ht="15.75" customHeight="1">
      <c r="A394" s="28"/>
      <c r="B394" s="29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 ht="15.75" customHeight="1">
      <c r="A395" s="28"/>
      <c r="B395" s="29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 ht="15.75" customHeight="1">
      <c r="A396" s="28"/>
      <c r="B396" s="29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 ht="15.75" customHeight="1">
      <c r="A397" s="28"/>
      <c r="B397" s="29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 ht="15.75" customHeight="1">
      <c r="A398" s="28"/>
      <c r="B398" s="29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 ht="15.75" customHeight="1">
      <c r="A399" s="28"/>
      <c r="B399" s="29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 ht="15.75" customHeight="1">
      <c r="A400" s="28"/>
      <c r="B400" s="29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 ht="15.75" customHeight="1">
      <c r="A401" s="28"/>
      <c r="B401" s="29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 ht="15.75" customHeight="1">
      <c r="A402" s="28"/>
      <c r="B402" s="29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ht="15.75" customHeight="1">
      <c r="A403" s="28"/>
      <c r="B403" s="29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 ht="15.75" customHeight="1">
      <c r="A404" s="28"/>
      <c r="B404" s="29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 ht="15.75" customHeight="1">
      <c r="A405" s="28"/>
      <c r="B405" s="29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 ht="15.75" customHeight="1">
      <c r="A406" s="28"/>
      <c r="B406" s="29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 ht="15.75" customHeight="1">
      <c r="A407" s="28"/>
      <c r="B407" s="29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 ht="15.75" customHeight="1">
      <c r="A408" s="28"/>
      <c r="B408" s="29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 ht="15.75" customHeight="1">
      <c r="A409" s="28"/>
      <c r="B409" s="29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 ht="15.75" customHeight="1">
      <c r="A410" s="28"/>
      <c r="B410" s="29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 ht="15.75" customHeight="1">
      <c r="A411" s="28"/>
      <c r="B411" s="29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 ht="15.75" customHeight="1">
      <c r="A412" s="28"/>
      <c r="B412" s="29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ht="15.75" customHeight="1">
      <c r="A413" s="28"/>
      <c r="B413" s="29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 ht="15.75" customHeight="1">
      <c r="A414" s="28"/>
      <c r="B414" s="29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 ht="15.75" customHeight="1">
      <c r="A415" s="28"/>
      <c r="B415" s="29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 ht="15.75" customHeight="1">
      <c r="A416" s="28"/>
      <c r="B416" s="29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 ht="15.75" customHeight="1">
      <c r="A417" s="28"/>
      <c r="B417" s="29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 ht="15.75" customHeight="1">
      <c r="A418" s="28"/>
      <c r="B418" s="29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 ht="15.75" customHeight="1">
      <c r="A419" s="28"/>
      <c r="B419" s="29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 ht="15.75" customHeight="1">
      <c r="A420" s="28"/>
      <c r="B420" s="29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 ht="15.75" customHeight="1">
      <c r="A421" s="28"/>
      <c r="B421" s="29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ht="15.75" customHeight="1">
      <c r="A422" s="28"/>
      <c r="B422" s="29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 ht="15.75" customHeight="1">
      <c r="A423" s="28"/>
      <c r="B423" s="29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 ht="15.75" customHeight="1">
      <c r="A424" s="28"/>
      <c r="B424" s="29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 ht="15.75" customHeight="1">
      <c r="A425" s="28"/>
      <c r="B425" s="29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 ht="15.75" customHeight="1">
      <c r="A426" s="28"/>
      <c r="B426" s="29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 ht="15.75" customHeight="1">
      <c r="A427" s="28"/>
      <c r="B427" s="29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 ht="15.75" customHeight="1">
      <c r="A428" s="28"/>
      <c r="B428" s="29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 ht="15.75" customHeight="1">
      <c r="A429" s="28"/>
      <c r="B429" s="29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 ht="15.75" customHeight="1">
      <c r="A430" s="28"/>
      <c r="B430" s="29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ht="15.75" customHeight="1">
      <c r="A431" s="28"/>
      <c r="B431" s="29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 ht="15.75" customHeight="1">
      <c r="A432" s="28"/>
      <c r="B432" s="29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 ht="15.75" customHeight="1">
      <c r="A433" s="28"/>
      <c r="B433" s="29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 ht="15.75" customHeight="1">
      <c r="A434" s="28"/>
      <c r="B434" s="29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 ht="15.75" customHeight="1">
      <c r="A435" s="28"/>
      <c r="B435" s="29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 ht="15.75" customHeight="1">
      <c r="A436" s="28"/>
      <c r="B436" s="29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 ht="15.75" customHeight="1">
      <c r="A437" s="28"/>
      <c r="B437" s="29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 ht="15.75" customHeight="1">
      <c r="A438" s="28"/>
      <c r="B438" s="29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 ht="15.75" customHeight="1">
      <c r="A439" s="28"/>
      <c r="B439" s="29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ht="15.75" customHeight="1">
      <c r="A440" s="28"/>
      <c r="B440" s="29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 ht="15.75" customHeight="1">
      <c r="A441" s="28"/>
      <c r="B441" s="29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 ht="15.75" customHeight="1">
      <c r="A442" s="28"/>
      <c r="B442" s="29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 ht="15.75" customHeight="1">
      <c r="A443" s="28"/>
      <c r="B443" s="29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 ht="15.75" customHeight="1">
      <c r="A444" s="28"/>
      <c r="B444" s="29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 ht="15.75" customHeight="1">
      <c r="A445" s="28"/>
      <c r="B445" s="29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 ht="15.75" customHeight="1">
      <c r="A446" s="28"/>
      <c r="B446" s="29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 ht="15.75" customHeight="1">
      <c r="A447" s="28"/>
      <c r="B447" s="29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 ht="15.75" customHeight="1">
      <c r="A448" s="28"/>
      <c r="B448" s="29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ht="15.75" customHeight="1">
      <c r="A449" s="28"/>
      <c r="B449" s="29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 ht="15.75" customHeight="1">
      <c r="A450" s="28"/>
      <c r="B450" s="29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 ht="15.75" customHeight="1">
      <c r="A451" s="28"/>
      <c r="B451" s="29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 ht="15.75" customHeight="1">
      <c r="A452" s="28"/>
      <c r="B452" s="29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 ht="15.75" customHeight="1">
      <c r="A453" s="28"/>
      <c r="B453" s="29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 ht="15.75" customHeight="1">
      <c r="A454" s="28"/>
      <c r="B454" s="29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 ht="15.75" customHeight="1">
      <c r="A455" s="28"/>
      <c r="B455" s="29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 ht="15.75" customHeight="1">
      <c r="A456" s="28"/>
      <c r="B456" s="29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 ht="15.75" customHeight="1">
      <c r="A457" s="28"/>
      <c r="B457" s="29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ht="15.75" customHeight="1">
      <c r="A458" s="28"/>
      <c r="B458" s="29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 ht="15.75" customHeight="1">
      <c r="A459" s="28"/>
      <c r="B459" s="29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 ht="15.75" customHeight="1">
      <c r="A460" s="28"/>
      <c r="B460" s="29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 ht="15.75" customHeight="1">
      <c r="A461" s="28"/>
      <c r="B461" s="29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 ht="15.75" customHeight="1">
      <c r="A462" s="28"/>
      <c r="B462" s="29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 ht="15.75" customHeight="1">
      <c r="A463" s="28"/>
      <c r="B463" s="29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 ht="15.75" customHeight="1">
      <c r="A464" s="28"/>
      <c r="B464" s="29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 ht="15.75" customHeight="1">
      <c r="A465" s="28"/>
      <c r="B465" s="29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 ht="15.75" customHeight="1">
      <c r="A466" s="28"/>
      <c r="B466" s="29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ht="15.75" customHeight="1">
      <c r="A467" s="28"/>
      <c r="B467" s="29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 ht="15.75" customHeight="1">
      <c r="A468" s="28"/>
      <c r="B468" s="29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 ht="15.75" customHeight="1">
      <c r="A469" s="28"/>
      <c r="B469" s="29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 ht="15.75" customHeight="1">
      <c r="A470" s="28"/>
      <c r="B470" s="29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 ht="15.75" customHeight="1">
      <c r="A471" s="28"/>
      <c r="B471" s="29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ht="15.75" customHeight="1">
      <c r="A472" s="28"/>
      <c r="B472" s="29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 ht="15.75" customHeight="1">
      <c r="A473" s="28"/>
      <c r="B473" s="29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 ht="15.75" customHeight="1">
      <c r="A474" s="28"/>
      <c r="B474" s="29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 ht="15.75" customHeight="1">
      <c r="A475" s="28"/>
      <c r="B475" s="29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ht="15.75" customHeight="1">
      <c r="A476" s="28"/>
      <c r="B476" s="29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 ht="15.75" customHeight="1">
      <c r="A477" s="28"/>
      <c r="B477" s="29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 ht="15.75" customHeight="1">
      <c r="A478" s="28"/>
      <c r="B478" s="29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 ht="15.75" customHeight="1">
      <c r="A479" s="28"/>
      <c r="B479" s="29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 ht="15.75" customHeight="1">
      <c r="A480" s="28"/>
      <c r="B480" s="29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 ht="15.75" customHeight="1">
      <c r="A481" s="28"/>
      <c r="B481" s="29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 ht="15.75" customHeight="1">
      <c r="A482" s="28"/>
      <c r="B482" s="29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 ht="15.75" customHeight="1">
      <c r="A483" s="28"/>
      <c r="B483" s="29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 ht="15.75" customHeight="1">
      <c r="A484" s="28"/>
      <c r="B484" s="29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ht="15.75" customHeight="1">
      <c r="A485" s="28"/>
      <c r="B485" s="29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 ht="15.75" customHeight="1">
      <c r="A486" s="28"/>
      <c r="B486" s="29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 ht="15.75" customHeight="1">
      <c r="A487" s="28"/>
      <c r="B487" s="29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 ht="15.75" customHeight="1">
      <c r="A488" s="28"/>
      <c r="B488" s="29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 ht="15.75" customHeight="1">
      <c r="A489" s="28"/>
      <c r="B489" s="29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 ht="15.75" customHeight="1">
      <c r="A490" s="28"/>
      <c r="B490" s="29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 ht="15.75" customHeight="1">
      <c r="A491" s="28"/>
      <c r="B491" s="29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 ht="15.75" customHeight="1">
      <c r="A492" s="28"/>
      <c r="B492" s="29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 ht="15.75" customHeight="1">
      <c r="A493" s="28"/>
      <c r="B493" s="29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ht="15.75" customHeight="1">
      <c r="A494" s="28"/>
      <c r="B494" s="29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 ht="15.75" customHeight="1">
      <c r="A495" s="28"/>
      <c r="B495" s="29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ht="15.75" customHeight="1">
      <c r="A496" s="28"/>
      <c r="B496" s="29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ht="15.75" customHeight="1">
      <c r="A497" s="28"/>
      <c r="B497" s="29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 ht="15.75" customHeight="1">
      <c r="A498" s="28"/>
      <c r="B498" s="29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 ht="15.75" customHeight="1">
      <c r="A499" s="28"/>
      <c r="B499" s="29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 ht="15.75" customHeight="1">
      <c r="A500" s="28"/>
      <c r="B500" s="2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 ht="15.75" customHeight="1">
      <c r="A501" s="28"/>
      <c r="B501" s="29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 ht="15.75" customHeight="1">
      <c r="A502" s="28"/>
      <c r="B502" s="29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 ht="15.75" customHeight="1">
      <c r="A503" s="28"/>
      <c r="B503" s="29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 ht="15.75" customHeight="1">
      <c r="A504" s="28"/>
      <c r="B504" s="29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ht="15.75" customHeight="1">
      <c r="A505" s="28"/>
      <c r="B505" s="29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 ht="15.75" customHeight="1">
      <c r="A506" s="28"/>
      <c r="B506" s="29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 ht="15.75" customHeight="1">
      <c r="A507" s="28"/>
      <c r="B507" s="29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 ht="15.75" customHeight="1">
      <c r="A508" s="28"/>
      <c r="B508" s="29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 ht="15.75" customHeight="1">
      <c r="A509" s="28"/>
      <c r="B509" s="29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 ht="15.75" customHeight="1">
      <c r="A510" s="28"/>
      <c r="B510" s="29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 ht="15.75" customHeight="1">
      <c r="A511" s="28"/>
      <c r="B511" s="29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 ht="15.75" customHeight="1">
      <c r="A512" s="28"/>
      <c r="B512" s="29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 ht="15.75" customHeight="1">
      <c r="A513" s="28"/>
      <c r="B513" s="29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ht="15.75" customHeight="1">
      <c r="A514" s="28"/>
      <c r="B514" s="29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 ht="15.75" customHeight="1">
      <c r="A515" s="28"/>
      <c r="B515" s="29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 ht="15.75" customHeight="1">
      <c r="A516" s="28"/>
      <c r="B516" s="29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 ht="15.75" customHeight="1">
      <c r="A517" s="28"/>
      <c r="B517" s="29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 ht="15.75" customHeight="1">
      <c r="A518" s="28"/>
      <c r="B518" s="29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 ht="15.75" customHeight="1">
      <c r="A519" s="28"/>
      <c r="B519" s="29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 ht="15.75" customHeight="1">
      <c r="A520" s="28"/>
      <c r="B520" s="29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 ht="15.75" customHeight="1">
      <c r="A521" s="28"/>
      <c r="B521" s="29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 ht="15.75" customHeight="1">
      <c r="A522" s="28"/>
      <c r="B522" s="29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 ht="15.75" customHeight="1">
      <c r="A523" s="28"/>
      <c r="B523" s="29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ht="15.75" customHeight="1">
      <c r="A524" s="28"/>
      <c r="B524" s="29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 ht="15.75" customHeight="1">
      <c r="A525" s="28"/>
      <c r="B525" s="29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 ht="15.75" customHeight="1">
      <c r="A526" s="28"/>
      <c r="B526" s="29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 ht="15.75" customHeight="1">
      <c r="A527" s="28"/>
      <c r="B527" s="29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 ht="15.75" customHeight="1">
      <c r="A528" s="28"/>
      <c r="B528" s="29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 ht="15.75" customHeight="1">
      <c r="A529" s="28"/>
      <c r="B529" s="29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 ht="15.75" customHeight="1">
      <c r="A530" s="28"/>
      <c r="B530" s="29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 ht="15.75" customHeight="1">
      <c r="A531" s="28"/>
      <c r="B531" s="29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 ht="15.75" customHeight="1">
      <c r="A532" s="28"/>
      <c r="B532" s="29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ht="15.75" customHeight="1">
      <c r="A533" s="28"/>
      <c r="B533" s="29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 ht="15.75" customHeight="1">
      <c r="A534" s="28"/>
      <c r="B534" s="29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 ht="15.75" customHeight="1">
      <c r="A535" s="28"/>
      <c r="B535" s="29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 ht="15.75" customHeight="1">
      <c r="A536" s="28"/>
      <c r="B536" s="29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 ht="15.75" customHeight="1">
      <c r="A537" s="28"/>
      <c r="B537" s="29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 ht="15.75" customHeight="1">
      <c r="A538" s="28"/>
      <c r="B538" s="29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 ht="15.75" customHeight="1">
      <c r="A539" s="28"/>
      <c r="B539" s="29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 ht="15.75" customHeight="1">
      <c r="A540" s="28"/>
      <c r="B540" s="29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 ht="15.75" customHeight="1">
      <c r="A541" s="28"/>
      <c r="B541" s="29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ht="15.75" customHeight="1">
      <c r="A542" s="28"/>
      <c r="B542" s="29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 ht="15.75" customHeight="1">
      <c r="A543" s="28"/>
      <c r="B543" s="29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 ht="15.75" customHeight="1">
      <c r="A544" s="28"/>
      <c r="B544" s="29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 ht="15.75" customHeight="1">
      <c r="A545" s="28"/>
      <c r="B545" s="29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 ht="15.75" customHeight="1">
      <c r="A546" s="28"/>
      <c r="B546" s="29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 ht="15.75" customHeight="1">
      <c r="A547" s="28"/>
      <c r="B547" s="29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 ht="15.75" customHeight="1">
      <c r="A548" s="28"/>
      <c r="B548" s="29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 ht="15.75" customHeight="1">
      <c r="A549" s="28"/>
      <c r="B549" s="29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 ht="15.75" customHeight="1">
      <c r="A550" s="28"/>
      <c r="B550" s="29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ht="15.75" customHeight="1">
      <c r="A551" s="28"/>
      <c r="B551" s="29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 ht="15.75" customHeight="1">
      <c r="A552" s="28"/>
      <c r="B552" s="29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 ht="15.75" customHeight="1">
      <c r="A553" s="28"/>
      <c r="B553" s="29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 ht="15.75" customHeight="1">
      <c r="A554" s="28"/>
      <c r="B554" s="29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ht="15.75" customHeight="1">
      <c r="A555" s="28"/>
      <c r="B555" s="29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ht="15.75" customHeight="1">
      <c r="A556" s="28"/>
      <c r="B556" s="29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 ht="15.75" customHeight="1">
      <c r="A557" s="28"/>
      <c r="B557" s="29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 ht="15.75" customHeight="1">
      <c r="A558" s="28"/>
      <c r="B558" s="29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 ht="15.75" customHeight="1">
      <c r="A559" s="28"/>
      <c r="B559" s="29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 ht="15.75" customHeight="1">
      <c r="A560" s="28"/>
      <c r="B560" s="29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 ht="15.75" customHeight="1">
      <c r="A561" s="28"/>
      <c r="B561" s="29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 ht="15.75" customHeight="1">
      <c r="A562" s="28"/>
      <c r="B562" s="29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ht="15.75" customHeight="1">
      <c r="A563" s="28"/>
      <c r="B563" s="29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 ht="15.75" customHeight="1">
      <c r="A564" s="28"/>
      <c r="B564" s="29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 ht="15.75" customHeight="1">
      <c r="A565" s="28"/>
      <c r="B565" s="29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 ht="15.75" customHeight="1">
      <c r="A566" s="28"/>
      <c r="B566" s="29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 ht="15.75" customHeight="1">
      <c r="A567" s="28"/>
      <c r="B567" s="29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 ht="15.75" customHeight="1">
      <c r="A568" s="28"/>
      <c r="B568" s="29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 ht="15.75" customHeight="1">
      <c r="A569" s="28"/>
      <c r="B569" s="29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 ht="15.75" customHeight="1">
      <c r="A570" s="28"/>
      <c r="B570" s="29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 ht="15.75" customHeight="1">
      <c r="A571" s="28"/>
      <c r="B571" s="29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ht="15.75" customHeight="1">
      <c r="A572" s="28"/>
      <c r="B572" s="29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 ht="15.75" customHeight="1">
      <c r="A573" s="28"/>
      <c r="B573" s="29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 ht="15.75" customHeight="1">
      <c r="A574" s="28"/>
      <c r="B574" s="29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 ht="15.75" customHeight="1">
      <c r="A575" s="28"/>
      <c r="B575" s="29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 ht="15.75" customHeight="1">
      <c r="A576" s="28"/>
      <c r="B576" s="29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 ht="15.75" customHeight="1">
      <c r="A577" s="28"/>
      <c r="B577" s="29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 ht="15.75" customHeight="1">
      <c r="A578" s="28"/>
      <c r="B578" s="29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 ht="15.75" customHeight="1">
      <c r="A579" s="28"/>
      <c r="B579" s="29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 ht="15.75" customHeight="1">
      <c r="A580" s="28"/>
      <c r="B580" s="29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 ht="15.75" customHeight="1">
      <c r="A581" s="28"/>
      <c r="B581" s="29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ht="15.75" customHeight="1">
      <c r="A582" s="28"/>
      <c r="B582" s="29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 ht="15.75" customHeight="1">
      <c r="A583" s="28"/>
      <c r="B583" s="29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 ht="15.75" customHeight="1">
      <c r="A584" s="28"/>
      <c r="B584" s="29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 ht="15.75" customHeight="1">
      <c r="A585" s="28"/>
      <c r="B585" s="29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 ht="15.75" customHeight="1">
      <c r="A586" s="28"/>
      <c r="B586" s="29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 ht="15.75" customHeight="1">
      <c r="A587" s="28"/>
      <c r="B587" s="29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 ht="15.75" customHeight="1">
      <c r="A588" s="28"/>
      <c r="B588" s="29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 ht="15.75" customHeight="1">
      <c r="A589" s="28"/>
      <c r="B589" s="29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 ht="15.75" customHeight="1">
      <c r="A590" s="28"/>
      <c r="B590" s="29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ht="15.75" customHeight="1">
      <c r="A591" s="28"/>
      <c r="B591" s="29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 ht="15.75" customHeight="1">
      <c r="A592" s="28"/>
      <c r="B592" s="29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 ht="15.75" customHeight="1">
      <c r="A593" s="28"/>
      <c r="B593" s="29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 ht="15.75" customHeight="1">
      <c r="A594" s="28"/>
      <c r="B594" s="29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 ht="15.75" customHeight="1">
      <c r="A595" s="28"/>
      <c r="B595" s="29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 ht="15.75" customHeight="1">
      <c r="A596" s="28"/>
      <c r="B596" s="29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 ht="15.75" customHeight="1">
      <c r="A597" s="28"/>
      <c r="B597" s="29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 ht="15.75" customHeight="1">
      <c r="A598" s="28"/>
      <c r="B598" s="29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 ht="15.75" customHeight="1">
      <c r="A599" s="28"/>
      <c r="B599" s="29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 ht="15.75" customHeight="1">
      <c r="A600" s="28"/>
      <c r="B600" s="29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ht="15.75" customHeight="1">
      <c r="A601" s="28"/>
      <c r="B601" s="29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 ht="15.75" customHeight="1">
      <c r="A602" s="28"/>
      <c r="B602" s="29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 ht="15.75" customHeight="1">
      <c r="A603" s="28"/>
      <c r="B603" s="29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 ht="15.75" customHeight="1">
      <c r="A604" s="28"/>
      <c r="B604" s="29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 ht="15.75" customHeight="1">
      <c r="A605" s="28"/>
      <c r="B605" s="29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ht="15.75" customHeight="1">
      <c r="A606" s="28"/>
      <c r="B606" s="29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ht="15.75" customHeight="1">
      <c r="A607" s="28"/>
      <c r="B607" s="29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 ht="15.75" customHeight="1">
      <c r="A608" s="28"/>
      <c r="B608" s="29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 ht="15.75" customHeight="1">
      <c r="A609" s="28"/>
      <c r="B609" s="29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 ht="15.75" customHeight="1">
      <c r="A610" s="28"/>
      <c r="B610" s="29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 ht="15.75" customHeight="1">
      <c r="A611" s="28"/>
      <c r="B611" s="29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ht="15.75" customHeight="1">
      <c r="A612" s="28"/>
      <c r="B612" s="29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 ht="15.75" customHeight="1">
      <c r="A613" s="28"/>
      <c r="B613" s="29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 ht="15.75" customHeight="1">
      <c r="A614" s="28"/>
      <c r="B614" s="29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 ht="15.75" customHeight="1">
      <c r="A615" s="28"/>
      <c r="B615" s="29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 ht="15.75" customHeight="1">
      <c r="A616" s="28"/>
      <c r="B616" s="29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 ht="15.75" customHeight="1">
      <c r="A617" s="28"/>
      <c r="B617" s="29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 ht="15.75" customHeight="1">
      <c r="A618" s="28"/>
      <c r="B618" s="29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 ht="15.75" customHeight="1">
      <c r="A619" s="28"/>
      <c r="B619" s="29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 ht="15.75" customHeight="1">
      <c r="A620" s="28"/>
      <c r="B620" s="29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 ht="15.75" customHeight="1">
      <c r="A621" s="28"/>
      <c r="B621" s="29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ht="15.75" customHeight="1">
      <c r="A622" s="28"/>
      <c r="B622" s="29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 ht="15.75" customHeight="1">
      <c r="A623" s="28"/>
      <c r="B623" s="29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 ht="15.75" customHeight="1">
      <c r="A624" s="28"/>
      <c r="B624" s="29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 ht="15.75" customHeight="1">
      <c r="A625" s="28"/>
      <c r="B625" s="29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 ht="15.75" customHeight="1">
      <c r="A626" s="28"/>
      <c r="B626" s="29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 ht="15.75" customHeight="1">
      <c r="A627" s="28"/>
      <c r="B627" s="29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 ht="15.75" customHeight="1">
      <c r="A628" s="28"/>
      <c r="B628" s="29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 ht="15.75" customHeight="1">
      <c r="A629" s="28"/>
      <c r="B629" s="29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 ht="15.75" customHeight="1">
      <c r="A630" s="28"/>
      <c r="B630" s="29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 ht="15.75" customHeight="1">
      <c r="A631" s="28"/>
      <c r="B631" s="29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ht="15.75" customHeight="1">
      <c r="A632" s="28"/>
      <c r="B632" s="29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 ht="15.75" customHeight="1">
      <c r="A633" s="28"/>
      <c r="B633" s="29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 ht="15.75" customHeight="1">
      <c r="A634" s="28"/>
      <c r="B634" s="29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 ht="15.75" customHeight="1">
      <c r="A635" s="28"/>
      <c r="B635" s="29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 ht="15.75" customHeight="1">
      <c r="A636" s="28"/>
      <c r="B636" s="29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 ht="15.75" customHeight="1">
      <c r="A637" s="28"/>
      <c r="B637" s="29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 ht="15.75" customHeight="1">
      <c r="A638" s="28"/>
      <c r="B638" s="29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 ht="15.75" customHeight="1">
      <c r="A639" s="28"/>
      <c r="B639" s="29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 ht="15.75" customHeight="1">
      <c r="A640" s="28"/>
      <c r="B640" s="29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ht="15.75" customHeight="1">
      <c r="A641" s="28"/>
      <c r="B641" s="29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 ht="15.75" customHeight="1">
      <c r="A642" s="28"/>
      <c r="B642" s="29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 ht="15.75" customHeight="1">
      <c r="A643" s="28"/>
      <c r="B643" s="29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 ht="15.75" customHeight="1">
      <c r="A644" s="28"/>
      <c r="B644" s="29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 ht="15.75" customHeight="1">
      <c r="A645" s="28"/>
      <c r="B645" s="29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 ht="15.75" customHeight="1">
      <c r="A646" s="28"/>
      <c r="B646" s="29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 ht="15.75" customHeight="1">
      <c r="A647" s="28"/>
      <c r="B647" s="29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 ht="15.75" customHeight="1">
      <c r="A648" s="28"/>
      <c r="B648" s="29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 ht="15.75" customHeight="1">
      <c r="A649" s="28"/>
      <c r="B649" s="29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 ht="15.75" customHeight="1">
      <c r="A650" s="28"/>
      <c r="B650" s="29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ht="15.75" customHeight="1">
      <c r="A651" s="28"/>
      <c r="B651" s="29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 ht="15.75" customHeight="1">
      <c r="A652" s="28"/>
      <c r="B652" s="29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 ht="15.75" customHeight="1">
      <c r="A653" s="28"/>
      <c r="B653" s="29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 ht="15.75" customHeight="1">
      <c r="A654" s="28"/>
      <c r="B654" s="29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 ht="15.75" customHeight="1">
      <c r="A655" s="28"/>
      <c r="B655" s="29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 ht="15.75" customHeight="1">
      <c r="A656" s="28"/>
      <c r="B656" s="29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 ht="15.75" customHeight="1">
      <c r="A657" s="28"/>
      <c r="B657" s="29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 ht="15.75" customHeight="1">
      <c r="A658" s="28"/>
      <c r="B658" s="29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 ht="15.75" customHeight="1">
      <c r="A659" s="28"/>
      <c r="B659" s="29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 ht="15.75" customHeight="1">
      <c r="A660" s="28"/>
      <c r="B660" s="29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ht="15.75" customHeight="1">
      <c r="A661" s="28"/>
      <c r="B661" s="29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 ht="15.75" customHeight="1">
      <c r="A662" s="28"/>
      <c r="B662" s="29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 ht="15.75" customHeight="1">
      <c r="A663" s="28"/>
      <c r="B663" s="29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 ht="15.75" customHeight="1">
      <c r="A664" s="28"/>
      <c r="B664" s="2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 ht="15.75" customHeight="1">
      <c r="A665" s="28"/>
      <c r="B665" s="29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 ht="15.75" customHeight="1">
      <c r="A666" s="28"/>
      <c r="B666" s="29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 ht="15.75" customHeight="1">
      <c r="A667" s="28"/>
      <c r="B667" s="29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 ht="15.75" customHeight="1">
      <c r="A668" s="28"/>
      <c r="B668" s="29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 ht="15.75" customHeight="1">
      <c r="A669" s="28"/>
      <c r="B669" s="29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 ht="15.75" customHeight="1">
      <c r="A670" s="28"/>
      <c r="B670" s="29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ht="15.75" customHeight="1">
      <c r="A671" s="28"/>
      <c r="B671" s="29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 ht="15.75" customHeight="1">
      <c r="A672" s="28"/>
      <c r="B672" s="29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 ht="15.75" customHeight="1">
      <c r="A673" s="28"/>
      <c r="B673" s="29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 ht="15.75" customHeight="1">
      <c r="A674" s="28"/>
      <c r="B674" s="29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 ht="15.75" customHeight="1">
      <c r="A675" s="28"/>
      <c r="B675" s="29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 ht="15.75" customHeight="1">
      <c r="A676" s="28"/>
      <c r="B676" s="29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 ht="15.75" customHeight="1">
      <c r="A677" s="28"/>
      <c r="B677" s="29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 ht="15.75" customHeight="1">
      <c r="A678" s="28"/>
      <c r="B678" s="29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 ht="15.75" customHeight="1">
      <c r="A679" s="28"/>
      <c r="B679" s="29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 ht="15.75" customHeight="1">
      <c r="A680" s="28"/>
      <c r="B680" s="29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ht="15.75" customHeight="1">
      <c r="A681" s="28"/>
      <c r="B681" s="29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 ht="15.75" customHeight="1">
      <c r="A682" s="28"/>
      <c r="B682" s="29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 ht="15.75" customHeight="1">
      <c r="A683" s="28"/>
      <c r="B683" s="29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 ht="15.75" customHeight="1">
      <c r="A684" s="28"/>
      <c r="B684" s="29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 ht="15.75" customHeight="1">
      <c r="A685" s="28"/>
      <c r="B685" s="29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 ht="15.75" customHeight="1">
      <c r="A686" s="28"/>
      <c r="B686" s="29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 ht="15.75" customHeight="1">
      <c r="A687" s="28"/>
      <c r="B687" s="29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 ht="15.75" customHeight="1">
      <c r="A688" s="28"/>
      <c r="B688" s="29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 ht="15.75" customHeight="1">
      <c r="A689" s="28"/>
      <c r="B689" s="29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ht="15.75" customHeight="1">
      <c r="A690" s="28"/>
      <c r="B690" s="29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 ht="15.75" customHeight="1">
      <c r="A691" s="28"/>
      <c r="B691" s="29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 ht="15.75" customHeight="1">
      <c r="A692" s="28"/>
      <c r="B692" s="29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 ht="15.75" customHeight="1">
      <c r="A693" s="28"/>
      <c r="B693" s="29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 ht="15.75" customHeight="1">
      <c r="A694" s="28"/>
      <c r="B694" s="29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 ht="15.75" customHeight="1">
      <c r="A695" s="28"/>
      <c r="B695" s="29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 ht="15.75" customHeight="1">
      <c r="A696" s="28"/>
      <c r="B696" s="29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 ht="15.75" customHeight="1">
      <c r="A697" s="28"/>
      <c r="B697" s="29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 ht="15.75" customHeight="1">
      <c r="A698" s="28"/>
      <c r="B698" s="29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 ht="15.75" customHeight="1">
      <c r="A699" s="28"/>
      <c r="B699" s="29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 ht="15.75" customHeight="1">
      <c r="A700" s="28"/>
      <c r="B700" s="29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ht="15.75" customHeight="1">
      <c r="A701" s="28"/>
      <c r="B701" s="29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 ht="15.75" customHeight="1">
      <c r="A702" s="28"/>
      <c r="B702" s="29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 ht="15.75" customHeight="1">
      <c r="A703" s="28"/>
      <c r="B703" s="29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 ht="15.75" customHeight="1">
      <c r="A704" s="28"/>
      <c r="B704" s="29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 ht="15.75" customHeight="1">
      <c r="A705" s="28"/>
      <c r="B705" s="29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 ht="15.75" customHeight="1">
      <c r="A706" s="28"/>
      <c r="B706" s="29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 ht="15.75" customHeight="1">
      <c r="A707" s="28"/>
      <c r="B707" s="29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 ht="15.75" customHeight="1">
      <c r="A708" s="28"/>
      <c r="B708" s="29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 ht="15.75" customHeight="1">
      <c r="A709" s="28"/>
      <c r="B709" s="29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 ht="15.75" customHeight="1">
      <c r="A710" s="28"/>
      <c r="B710" s="29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ht="15.75" customHeight="1">
      <c r="A711" s="28"/>
      <c r="B711" s="29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 ht="15.75" customHeight="1">
      <c r="A712" s="28"/>
      <c r="B712" s="29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 ht="15.75" customHeight="1">
      <c r="A713" s="28"/>
      <c r="B713" s="29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 ht="15.75" customHeight="1">
      <c r="A714" s="28"/>
      <c r="B714" s="29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 ht="15.75" customHeight="1">
      <c r="A715" s="28"/>
      <c r="B715" s="29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 ht="15.75" customHeight="1">
      <c r="A716" s="28"/>
      <c r="B716" s="29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 ht="15.75" customHeight="1">
      <c r="A717" s="28"/>
      <c r="B717" s="29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 ht="15.75" customHeight="1">
      <c r="A718" s="28"/>
      <c r="B718" s="29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 ht="15.75" customHeight="1">
      <c r="A719" s="28"/>
      <c r="B719" s="29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ht="15.75" customHeight="1">
      <c r="A720" s="28"/>
      <c r="B720" s="29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 ht="15.75" customHeight="1">
      <c r="A721" s="28"/>
      <c r="B721" s="29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 ht="15.75" customHeight="1">
      <c r="A722" s="28"/>
      <c r="B722" s="29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 ht="15.75" customHeight="1">
      <c r="A723" s="28"/>
      <c r="B723" s="29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 ht="15.75" customHeight="1">
      <c r="A724" s="28"/>
      <c r="B724" s="29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 ht="15.75" customHeight="1">
      <c r="A725" s="28"/>
      <c r="B725" s="29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 ht="15.75" customHeight="1">
      <c r="A726" s="28"/>
      <c r="B726" s="29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 ht="15.75" customHeight="1">
      <c r="A727" s="28"/>
      <c r="B727" s="29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 ht="15.75" customHeight="1">
      <c r="A728" s="28"/>
      <c r="B728" s="29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ht="15.75" customHeight="1">
      <c r="A729" s="28"/>
      <c r="B729" s="29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 ht="15.75" customHeight="1">
      <c r="A730" s="28"/>
      <c r="B730" s="29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 ht="15.75" customHeight="1">
      <c r="A731" s="28"/>
      <c r="B731" s="29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 ht="15.75" customHeight="1">
      <c r="A732" s="28"/>
      <c r="B732" s="29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 ht="15.75" customHeight="1">
      <c r="A733" s="28"/>
      <c r="B733" s="29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 ht="15.75" customHeight="1">
      <c r="A734" s="28"/>
      <c r="B734" s="29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 ht="15.75" customHeight="1">
      <c r="A735" s="28"/>
      <c r="B735" s="29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 ht="15.75" customHeight="1">
      <c r="A736" s="28"/>
      <c r="B736" s="29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 ht="15.75" customHeight="1">
      <c r="A737" s="28"/>
      <c r="B737" s="29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 ht="15.75" customHeight="1">
      <c r="A738" s="28"/>
      <c r="B738" s="29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ht="15.75" customHeight="1">
      <c r="A739" s="28"/>
      <c r="B739" s="29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 ht="15.75" customHeight="1">
      <c r="A740" s="28"/>
      <c r="B740" s="29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 ht="15.75" customHeight="1">
      <c r="A741" s="28"/>
      <c r="B741" s="29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 ht="15.75" customHeight="1">
      <c r="A742" s="28"/>
      <c r="B742" s="29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 ht="15.75" customHeight="1">
      <c r="A743" s="28"/>
      <c r="B743" s="29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 ht="15.75" customHeight="1">
      <c r="A744" s="28"/>
      <c r="B744" s="29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 ht="15.75" customHeight="1">
      <c r="A745" s="28"/>
      <c r="B745" s="29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 ht="15.75" customHeight="1">
      <c r="A746" s="28"/>
      <c r="B746" s="29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 ht="15.75" customHeight="1">
      <c r="A747" s="28"/>
      <c r="B747" s="29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ht="15.75" customHeight="1">
      <c r="A748" s="28"/>
      <c r="B748" s="29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 ht="15.75" customHeight="1">
      <c r="A749" s="28"/>
      <c r="B749" s="29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 ht="15.75" customHeight="1">
      <c r="A750" s="28"/>
      <c r="B750" s="29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 ht="15.75" customHeight="1">
      <c r="A751" s="28"/>
      <c r="B751" s="29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 ht="15.75" customHeight="1">
      <c r="A752" s="28"/>
      <c r="B752" s="29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 ht="15.75" customHeight="1">
      <c r="A753" s="28"/>
      <c r="B753" s="29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 ht="15.75" customHeight="1">
      <c r="A754" s="28"/>
      <c r="B754" s="29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 ht="15.75" customHeight="1">
      <c r="A755" s="28"/>
      <c r="B755" s="29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 ht="15.75" customHeight="1">
      <c r="A756" s="28"/>
      <c r="B756" s="29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ht="15.75" customHeight="1">
      <c r="A757" s="28"/>
      <c r="B757" s="29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 ht="15.75" customHeight="1">
      <c r="A758" s="28"/>
      <c r="B758" s="29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 ht="15.75" customHeight="1">
      <c r="A759" s="28"/>
      <c r="B759" s="29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 ht="15.75" customHeight="1">
      <c r="A760" s="28"/>
      <c r="B760" s="29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 ht="15.75" customHeight="1">
      <c r="A761" s="28"/>
      <c r="B761" s="29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 ht="15.75" customHeight="1">
      <c r="A762" s="28"/>
      <c r="B762" s="29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 ht="15.75" customHeight="1">
      <c r="A763" s="28"/>
      <c r="B763" s="29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 ht="15.75" customHeight="1">
      <c r="A764" s="28"/>
      <c r="B764" s="29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 ht="15.75" customHeight="1">
      <c r="A765" s="28"/>
      <c r="B765" s="29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 ht="15.75" customHeight="1">
      <c r="A766" s="28"/>
      <c r="B766" s="29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ht="15.75" customHeight="1">
      <c r="A767" s="28"/>
      <c r="B767" s="29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 ht="15.75" customHeight="1">
      <c r="A768" s="28"/>
      <c r="B768" s="29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 ht="15.75" customHeight="1">
      <c r="A769" s="28"/>
      <c r="B769" s="29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 ht="15.75" customHeight="1">
      <c r="A770" s="28"/>
      <c r="B770" s="29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 ht="15.75" customHeight="1">
      <c r="A771" s="28"/>
      <c r="B771" s="29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 ht="15.75" customHeight="1">
      <c r="A772" s="28"/>
      <c r="B772" s="29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 ht="15.75" customHeight="1">
      <c r="A773" s="28"/>
      <c r="B773" s="29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 ht="15.75" customHeight="1">
      <c r="A774" s="28"/>
      <c r="B774" s="29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 ht="15.75" customHeight="1">
      <c r="A775" s="28"/>
      <c r="B775" s="29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ht="15.75" customHeight="1">
      <c r="A776" s="28"/>
      <c r="B776" s="29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 ht="15.75" customHeight="1">
      <c r="A777" s="28"/>
      <c r="B777" s="29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 ht="15.75" customHeight="1">
      <c r="A778" s="28"/>
      <c r="B778" s="29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 ht="15.75" customHeight="1">
      <c r="A779" s="28"/>
      <c r="B779" s="29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 ht="15.75" customHeight="1">
      <c r="A780" s="28"/>
      <c r="B780" s="29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 ht="15.75" customHeight="1">
      <c r="A781" s="28"/>
      <c r="B781" s="29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 ht="15.75" customHeight="1">
      <c r="A782" s="28"/>
      <c r="B782" s="29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 ht="15.75" customHeight="1">
      <c r="A783" s="28"/>
      <c r="B783" s="29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 ht="15.75" customHeight="1">
      <c r="A784" s="28"/>
      <c r="B784" s="29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 ht="15.75" customHeight="1">
      <c r="A785" s="28"/>
      <c r="B785" s="29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ht="15.75" customHeight="1">
      <c r="A786" s="28"/>
      <c r="B786" s="29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 ht="15.75" customHeight="1">
      <c r="A787" s="28"/>
      <c r="B787" s="29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 ht="15.75" customHeight="1">
      <c r="A788" s="28"/>
      <c r="B788" s="29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 ht="15.75" customHeight="1">
      <c r="A789" s="28"/>
      <c r="B789" s="29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 ht="15.75" customHeight="1">
      <c r="A790" s="28"/>
      <c r="B790" s="29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 ht="15.75" customHeight="1">
      <c r="A791" s="28"/>
      <c r="B791" s="29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 ht="15.75" customHeight="1">
      <c r="A792" s="28"/>
      <c r="B792" s="29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 ht="15.75" customHeight="1">
      <c r="A793" s="28"/>
      <c r="B793" s="29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 ht="15.75" customHeight="1">
      <c r="A794" s="28"/>
      <c r="B794" s="29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 ht="15.75" customHeight="1">
      <c r="A795" s="28"/>
      <c r="B795" s="29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ht="15.75" customHeight="1">
      <c r="A796" s="28"/>
      <c r="B796" s="29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 ht="15.75" customHeight="1">
      <c r="A797" s="28"/>
      <c r="B797" s="29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 ht="15.75" customHeight="1">
      <c r="A798" s="28"/>
      <c r="B798" s="29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 ht="15.75" customHeight="1">
      <c r="A799" s="28"/>
      <c r="B799" s="29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 ht="15.75" customHeight="1">
      <c r="A800" s="28"/>
      <c r="B800" s="29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 ht="15.75" customHeight="1">
      <c r="A801" s="28"/>
      <c r="B801" s="29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 ht="15.75" customHeight="1">
      <c r="A802" s="28"/>
      <c r="B802" s="29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 ht="15.75" customHeight="1">
      <c r="A803" s="28"/>
      <c r="B803" s="29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 ht="15.75" customHeight="1">
      <c r="A804" s="28"/>
      <c r="B804" s="29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ht="15.75" customHeight="1">
      <c r="A805" s="28"/>
      <c r="B805" s="29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 ht="15.75" customHeight="1">
      <c r="A806" s="28"/>
      <c r="B806" s="29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 ht="15.75" customHeight="1">
      <c r="A807" s="28"/>
      <c r="B807" s="29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 ht="15.75" customHeight="1">
      <c r="A808" s="28"/>
      <c r="B808" s="29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 ht="15.75" customHeight="1">
      <c r="A809" s="28"/>
      <c r="B809" s="29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 ht="15.75" customHeight="1">
      <c r="A810" s="28"/>
      <c r="B810" s="29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 ht="15.75" customHeight="1">
      <c r="A811" s="28"/>
      <c r="B811" s="29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 ht="15.75" customHeight="1">
      <c r="A812" s="28"/>
      <c r="B812" s="29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 ht="15.75" customHeight="1">
      <c r="A813" s="28"/>
      <c r="B813" s="29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 ht="15.75" customHeight="1">
      <c r="A814" s="28"/>
      <c r="B814" s="29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 ht="15.75" customHeight="1">
      <c r="A815" s="28"/>
      <c r="B815" s="29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ht="15.75" customHeight="1">
      <c r="A816" s="28"/>
      <c r="B816" s="29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 ht="15.75" customHeight="1">
      <c r="A817" s="28"/>
      <c r="B817" s="29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 ht="15.75" customHeight="1">
      <c r="A818" s="28"/>
      <c r="B818" s="29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 ht="15.75" customHeight="1">
      <c r="A819" s="28"/>
      <c r="B819" s="29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 ht="15.75" customHeight="1">
      <c r="A820" s="28"/>
      <c r="B820" s="29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 ht="15.75" customHeight="1">
      <c r="A821" s="28"/>
      <c r="B821" s="29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 ht="15.75" customHeight="1">
      <c r="A822" s="28"/>
      <c r="B822" s="29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 ht="15.75" customHeight="1">
      <c r="A823" s="28"/>
      <c r="B823" s="29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 ht="15.75" customHeight="1">
      <c r="A824" s="28"/>
      <c r="B824" s="29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ht="15.75" customHeight="1">
      <c r="A825" s="28"/>
      <c r="B825" s="29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 ht="15.75" customHeight="1">
      <c r="A826" s="28"/>
      <c r="B826" s="29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 ht="15.75" customHeight="1">
      <c r="A827" s="28"/>
      <c r="B827" s="29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 ht="15.75" customHeight="1">
      <c r="A828" s="28"/>
      <c r="B828" s="29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 ht="15.75" customHeight="1">
      <c r="A829" s="28"/>
      <c r="B829" s="29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 ht="15.75" customHeight="1">
      <c r="A830" s="28"/>
      <c r="B830" s="29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 ht="15.75" customHeight="1">
      <c r="A831" s="28"/>
      <c r="B831" s="29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 ht="15.75" customHeight="1">
      <c r="A832" s="28"/>
      <c r="B832" s="29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 ht="15.75" customHeight="1">
      <c r="A833" s="28"/>
      <c r="B833" s="29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ht="15.75" customHeight="1">
      <c r="A834" s="28"/>
      <c r="B834" s="29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 ht="15.75" customHeight="1">
      <c r="A835" s="28"/>
      <c r="B835" s="29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 ht="15.75" customHeight="1">
      <c r="A836" s="28"/>
      <c r="B836" s="29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 ht="15.75" customHeight="1">
      <c r="A837" s="28"/>
      <c r="B837" s="29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 ht="15.75" customHeight="1">
      <c r="A838" s="28"/>
      <c r="B838" s="29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 ht="15.75" customHeight="1">
      <c r="A839" s="28"/>
      <c r="B839" s="29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 ht="15.75" customHeight="1">
      <c r="A840" s="28"/>
      <c r="B840" s="29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 ht="15.75" customHeight="1">
      <c r="A841" s="28"/>
      <c r="B841" s="29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 ht="15.75" customHeight="1">
      <c r="A842" s="28"/>
      <c r="B842" s="29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ht="15.75" customHeight="1">
      <c r="A843" s="28"/>
      <c r="B843" s="29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 ht="15.75" customHeight="1">
      <c r="A844" s="28"/>
      <c r="B844" s="29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 ht="15.75" customHeight="1">
      <c r="A845" s="28"/>
      <c r="B845" s="29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 ht="15.75" customHeight="1">
      <c r="A846" s="28"/>
      <c r="B846" s="29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 ht="15.75" customHeight="1">
      <c r="A847" s="28"/>
      <c r="B847" s="29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 ht="15.75" customHeight="1">
      <c r="A848" s="28"/>
      <c r="B848" s="29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 ht="15.75" customHeight="1">
      <c r="A849" s="28"/>
      <c r="B849" s="29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 ht="15.75" customHeight="1">
      <c r="A850" s="28"/>
      <c r="B850" s="29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 ht="15.75" customHeight="1">
      <c r="A851" s="28"/>
      <c r="B851" s="29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ht="15.75" customHeight="1">
      <c r="A852" s="28"/>
      <c r="B852" s="29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 ht="15.75" customHeight="1">
      <c r="A853" s="28"/>
      <c r="B853" s="29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 ht="15.75" customHeight="1">
      <c r="A854" s="28"/>
      <c r="B854" s="29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 ht="15.75" customHeight="1">
      <c r="A855" s="28"/>
      <c r="B855" s="29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 ht="15.75" customHeight="1">
      <c r="A856" s="28"/>
      <c r="B856" s="29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 ht="15.75" customHeight="1">
      <c r="A857" s="28"/>
      <c r="B857" s="29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 ht="15.75" customHeight="1">
      <c r="A858" s="28"/>
      <c r="B858" s="29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 ht="15.75" customHeight="1">
      <c r="A859" s="28"/>
      <c r="B859" s="29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 ht="15.75" customHeight="1">
      <c r="A860" s="28"/>
      <c r="B860" s="29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 ht="15.75" customHeight="1">
      <c r="A861" s="28"/>
      <c r="B861" s="29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ht="15.75" customHeight="1">
      <c r="A862" s="28"/>
      <c r="B862" s="29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 ht="15.75" customHeight="1">
      <c r="A863" s="28"/>
      <c r="B863" s="29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 ht="15.75" customHeight="1">
      <c r="A864" s="28"/>
      <c r="B864" s="29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 ht="15.75" customHeight="1">
      <c r="A865" s="28"/>
      <c r="B865" s="29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 ht="15.75" customHeight="1">
      <c r="A866" s="28"/>
      <c r="B866" s="29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 ht="15.75" customHeight="1">
      <c r="A867" s="28"/>
      <c r="B867" s="29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 ht="15.75" customHeight="1">
      <c r="A868" s="28"/>
      <c r="B868" s="29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 ht="15.75" customHeight="1">
      <c r="A869" s="28"/>
      <c r="B869" s="29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 ht="15.75" customHeight="1">
      <c r="A870" s="28"/>
      <c r="B870" s="29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ht="15.75" customHeight="1">
      <c r="A871" s="28"/>
      <c r="B871" s="29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 ht="15.75" customHeight="1">
      <c r="A872" s="28"/>
      <c r="B872" s="29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 ht="15.75" customHeight="1">
      <c r="A873" s="28"/>
      <c r="B873" s="29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 ht="15.75" customHeight="1">
      <c r="A874" s="28"/>
      <c r="B874" s="29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 ht="15.75" customHeight="1">
      <c r="A875" s="28"/>
      <c r="B875" s="29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 ht="15.75" customHeight="1">
      <c r="A876" s="28"/>
      <c r="B876" s="29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 ht="15.75" customHeight="1">
      <c r="A877" s="28"/>
      <c r="B877" s="29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 ht="15.75" customHeight="1">
      <c r="A878" s="28"/>
      <c r="B878" s="29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 ht="15.75" customHeight="1">
      <c r="A879" s="28"/>
      <c r="B879" s="29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 ht="15.75" customHeight="1">
      <c r="A880" s="28"/>
      <c r="B880" s="29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 ht="15.75" customHeight="1">
      <c r="A881" s="28"/>
      <c r="B881" s="29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 ht="15.75" customHeight="1">
      <c r="A882" s="28"/>
      <c r="B882" s="29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ht="15.75" customHeight="1">
      <c r="A883" s="28"/>
      <c r="B883" s="29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 ht="15.75" customHeight="1">
      <c r="A884" s="28"/>
      <c r="B884" s="29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 ht="15.75" customHeight="1">
      <c r="A885" s="28"/>
      <c r="B885" s="29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 ht="15.75" customHeight="1">
      <c r="A886" s="28"/>
      <c r="B886" s="29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 ht="15.75" customHeight="1">
      <c r="A887" s="28"/>
      <c r="B887" s="29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 ht="15.75" customHeight="1">
      <c r="A888" s="28"/>
      <c r="B888" s="29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 ht="15.75" customHeight="1">
      <c r="A889" s="28"/>
      <c r="B889" s="29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 ht="15.75" customHeight="1">
      <c r="A890" s="28"/>
      <c r="B890" s="29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 ht="15.75" customHeight="1">
      <c r="A891" s="28"/>
      <c r="B891" s="29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ht="15.75" customHeight="1">
      <c r="A892" s="28"/>
      <c r="B892" s="29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 ht="15.75" customHeight="1">
      <c r="A893" s="28"/>
      <c r="B893" s="29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 ht="15.75" customHeight="1">
      <c r="A894" s="28"/>
      <c r="B894" s="29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 ht="15.75" customHeight="1">
      <c r="A895" s="28"/>
      <c r="B895" s="29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 ht="15.75" customHeight="1">
      <c r="A896" s="28"/>
      <c r="B896" s="29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 ht="15.75" customHeight="1">
      <c r="A897" s="28"/>
      <c r="B897" s="29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 ht="15.75" customHeight="1">
      <c r="A898" s="28"/>
      <c r="B898" s="29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 ht="15.75" customHeight="1">
      <c r="A899" s="28"/>
      <c r="B899" s="29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 ht="15.75" customHeight="1">
      <c r="A900" s="28"/>
      <c r="B900" s="29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ht="15.75" customHeight="1">
      <c r="A901" s="28"/>
      <c r="B901" s="29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 ht="15.75" customHeight="1">
      <c r="A902" s="28"/>
      <c r="B902" s="29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 ht="15.75" customHeight="1">
      <c r="A903" s="28"/>
      <c r="B903" s="29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 ht="15.75" customHeight="1">
      <c r="A904" s="28"/>
      <c r="B904" s="29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 ht="15.75" customHeight="1">
      <c r="A905" s="28"/>
      <c r="B905" s="29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 ht="15.75" customHeight="1">
      <c r="A906" s="28"/>
      <c r="B906" s="29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 ht="15.75" customHeight="1">
      <c r="A907" s="28"/>
      <c r="B907" s="29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 ht="15.75" customHeight="1">
      <c r="A908" s="28"/>
      <c r="B908" s="29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 ht="15.75" customHeight="1">
      <c r="A909" s="28"/>
      <c r="B909" s="29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 ht="15.75" customHeight="1">
      <c r="A910" s="28"/>
      <c r="B910" s="29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 ht="15.75" customHeight="1">
      <c r="A911" s="28"/>
      <c r="B911" s="29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 ht="15.75" customHeight="1">
      <c r="A912" s="28"/>
      <c r="B912" s="29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 ht="15.75" customHeight="1">
      <c r="A913" s="28"/>
      <c r="B913" s="29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 ht="15.75" customHeight="1">
      <c r="A914" s="28"/>
      <c r="B914" s="29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ht="15.75" customHeight="1">
      <c r="A915" s="28"/>
      <c r="B915" s="29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 ht="15.75" customHeight="1">
      <c r="A916" s="28"/>
      <c r="B916" s="29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 ht="15.75" customHeight="1">
      <c r="A917" s="28"/>
      <c r="B917" s="29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 ht="15.75" customHeight="1">
      <c r="A918" s="28"/>
      <c r="B918" s="29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 ht="15.75" customHeight="1">
      <c r="A919" s="28"/>
      <c r="B919" s="29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 ht="15.75" customHeight="1">
      <c r="A920" s="28"/>
      <c r="B920" s="29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 ht="15.75" customHeight="1">
      <c r="A921" s="28"/>
      <c r="B921" s="29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 ht="15.75" customHeight="1">
      <c r="A922" s="28"/>
      <c r="B922" s="29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 ht="15.75" customHeight="1">
      <c r="A923" s="28"/>
      <c r="B923" s="29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 ht="15.75" customHeight="1">
      <c r="A924" s="28"/>
      <c r="B924" s="29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 ht="15.75" customHeight="1">
      <c r="A925" s="28"/>
      <c r="B925" s="29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 ht="15.75" customHeight="1">
      <c r="A926" s="28"/>
      <c r="B926" s="29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 ht="15.75" customHeight="1">
      <c r="A927" s="28"/>
      <c r="B927" s="29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 ht="15.75" customHeight="1">
      <c r="A928" s="28"/>
      <c r="B928" s="29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 ht="15.75" customHeight="1">
      <c r="A929" s="28"/>
      <c r="B929" s="29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 ht="15.75" customHeight="1">
      <c r="A930" s="28"/>
      <c r="B930" s="29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 ht="15.75" customHeight="1">
      <c r="A931" s="28"/>
      <c r="B931" s="29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 ht="15.75" customHeight="1">
      <c r="A932" s="28"/>
      <c r="B932" s="29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 ht="15.75" customHeight="1">
      <c r="A933" s="28"/>
      <c r="B933" s="29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 ht="15.75" customHeight="1">
      <c r="A934" s="28"/>
      <c r="B934" s="29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 ht="15.75" customHeight="1">
      <c r="A935" s="28"/>
      <c r="B935" s="29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 ht="15.75" customHeight="1">
      <c r="A936" s="28"/>
      <c r="B936" s="29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 ht="15.75" customHeight="1">
      <c r="A937" s="28"/>
      <c r="B937" s="29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 ht="15.75" customHeight="1">
      <c r="A938" s="28"/>
      <c r="B938" s="29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 ht="15.75" customHeight="1">
      <c r="A939" s="28"/>
      <c r="B939" s="29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 ht="15.75" customHeight="1">
      <c r="A940" s="28"/>
      <c r="B940" s="29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 ht="15.75" customHeight="1">
      <c r="A941" s="28"/>
      <c r="B941" s="29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 ht="15.75" customHeight="1">
      <c r="A942" s="28"/>
      <c r="B942" s="29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 ht="15.75" customHeight="1">
      <c r="A943" s="28"/>
      <c r="B943" s="29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 ht="15.75" customHeight="1">
      <c r="A944" s="28"/>
      <c r="B944" s="29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 ht="15.75" customHeight="1">
      <c r="A945" s="28"/>
      <c r="B945" s="29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 ht="15.75" customHeight="1">
      <c r="A946" s="28"/>
      <c r="B946" s="29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 ht="15.75" customHeight="1">
      <c r="A947" s="28"/>
      <c r="B947" s="29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 ht="15.75" customHeight="1">
      <c r="A948" s="28"/>
      <c r="B948" s="29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 ht="15.75" customHeight="1">
      <c r="A949" s="28"/>
      <c r="B949" s="29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 ht="15.75" customHeight="1">
      <c r="A950" s="28"/>
      <c r="B950" s="29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 ht="15.75" customHeight="1">
      <c r="A951" s="28"/>
      <c r="B951" s="29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 ht="15.75" customHeight="1">
      <c r="A952" s="28"/>
      <c r="B952" s="29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 ht="15.75" customHeight="1">
      <c r="A953" s="28"/>
      <c r="B953" s="29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 ht="15.75" customHeight="1">
      <c r="A954" s="28"/>
      <c r="B954" s="29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 ht="15.75" customHeight="1">
      <c r="A955" s="28"/>
      <c r="B955" s="29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 ht="15.75" customHeight="1">
      <c r="A956" s="28"/>
      <c r="B956" s="29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 ht="15.75" customHeight="1">
      <c r="A957" s="28"/>
      <c r="B957" s="29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 ht="15.75" customHeight="1">
      <c r="A958" s="28"/>
      <c r="B958" s="29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 ht="15.75" customHeight="1">
      <c r="A959" s="28"/>
      <c r="B959" s="29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 ht="15.75" customHeight="1">
      <c r="A960" s="28"/>
      <c r="B960" s="29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 ht="15.75" customHeight="1">
      <c r="A961" s="28"/>
      <c r="B961" s="29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 ht="15.75" customHeight="1">
      <c r="A962" s="28"/>
      <c r="B962" s="29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 ht="15.75" customHeight="1">
      <c r="A963" s="28"/>
      <c r="B963" s="29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 ht="15.75" customHeight="1">
      <c r="A964" s="28"/>
      <c r="B964" s="29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 ht="15.75" customHeight="1">
      <c r="A965" s="28"/>
      <c r="B965" s="29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 ht="15.75" customHeight="1">
      <c r="A966" s="28"/>
      <c r="B966" s="29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 ht="15.75" customHeight="1">
      <c r="A967" s="28"/>
      <c r="B967" s="29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 ht="15.75" customHeight="1">
      <c r="A968" s="28"/>
      <c r="B968" s="29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 ht="15.75" customHeight="1">
      <c r="A969" s="28"/>
      <c r="B969" s="29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 ht="15.75" customHeight="1">
      <c r="A970" s="28"/>
      <c r="B970" s="29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 ht="15.75" customHeight="1">
      <c r="A971" s="28"/>
      <c r="B971" s="29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 ht="15.75" customHeight="1">
      <c r="A972" s="28"/>
      <c r="B972" s="29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 ht="15.75" customHeight="1">
      <c r="A973" s="28"/>
      <c r="B973" s="29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 ht="15.75" customHeight="1">
      <c r="A974" s="28"/>
      <c r="B974" s="29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 ht="15.75" customHeight="1">
      <c r="A975" s="28"/>
      <c r="B975" s="29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 ht="15.75" customHeight="1">
      <c r="A976" s="28"/>
      <c r="B976" s="29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 ht="15.75" customHeight="1">
      <c r="A977" s="28"/>
      <c r="B977" s="29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 ht="15.75" customHeight="1">
      <c r="A978" s="28"/>
      <c r="B978" s="29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 ht="15.75" customHeight="1">
      <c r="A979" s="28"/>
      <c r="B979" s="29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 ht="15.75" customHeight="1">
      <c r="A980" s="28"/>
      <c r="B980" s="29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  <row r="981" ht="15.75" customHeight="1">
      <c r="A981" s="28"/>
      <c r="B981" s="29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</row>
    <row r="982" ht="15.75" customHeight="1">
      <c r="A982" s="28"/>
      <c r="B982" s="29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 ht="15.75" customHeight="1">
      <c r="A983" s="28"/>
      <c r="B983" s="29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</row>
    <row r="984" ht="15.75" customHeight="1">
      <c r="A984" s="28"/>
      <c r="B984" s="29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</row>
    <row r="985" ht="15.75" customHeight="1">
      <c r="A985" s="28"/>
      <c r="B985" s="29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</row>
    <row r="986" ht="15.75" customHeight="1">
      <c r="A986" s="28"/>
      <c r="B986" s="29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</row>
    <row r="987" ht="15.75" customHeight="1">
      <c r="A987" s="28"/>
      <c r="B987" s="29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</row>
    <row r="988" ht="15.75" customHeight="1">
      <c r="A988" s="28"/>
      <c r="B988" s="29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</row>
    <row r="989" ht="15.75" customHeight="1">
      <c r="A989" s="28"/>
      <c r="B989" s="29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</row>
    <row r="990" ht="15.75" customHeight="1">
      <c r="A990" s="28"/>
      <c r="B990" s="29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</row>
    <row r="991" ht="15.75" customHeight="1">
      <c r="A991" s="28"/>
      <c r="B991" s="29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</row>
    <row r="992" ht="15.75" customHeight="1">
      <c r="A992" s="28"/>
      <c r="B992" s="29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</row>
    <row r="993" ht="15.75" customHeight="1">
      <c r="A993" s="28"/>
      <c r="B993" s="29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</row>
    <row r="994" ht="15.75" customHeight="1">
      <c r="A994" s="28"/>
      <c r="B994" s="29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</row>
    <row r="995" ht="15.75" customHeight="1">
      <c r="A995" s="28"/>
      <c r="B995" s="29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</row>
    <row r="996" ht="15.75" customHeight="1">
      <c r="A996" s="28"/>
      <c r="B996" s="29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</row>
    <row r="997" ht="15.75" customHeight="1">
      <c r="A997" s="28"/>
      <c r="B997" s="29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</row>
    <row r="998" ht="15.75" customHeight="1">
      <c r="A998" s="28"/>
      <c r="B998" s="29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</row>
  </sheetData>
  <mergeCells count="6">
    <mergeCell ref="A1:D1"/>
    <mergeCell ref="A2:D2"/>
    <mergeCell ref="A3:D3"/>
    <mergeCell ref="A4:A5"/>
    <mergeCell ref="B4:B5"/>
    <mergeCell ref="C4:D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0"/>
    <col customWidth="1" min="2" max="2" width="23.13"/>
    <col customWidth="1" min="3" max="4" width="7.63"/>
    <col customWidth="1" min="5" max="5" width="9.0"/>
    <col customWidth="1" min="6" max="6" width="8.0"/>
    <col customWidth="1" min="7" max="7" width="5.88"/>
    <col customWidth="1" min="8" max="8" width="7.0"/>
    <col customWidth="1" min="9" max="9" width="6.38"/>
    <col customWidth="1" min="10" max="10" width="6.13"/>
    <col customWidth="1" min="11" max="11" width="6.63"/>
    <col customWidth="1" min="12" max="12" width="4.0"/>
    <col customWidth="1" min="13" max="13" width="5.75"/>
    <col customWidth="1" min="14" max="14" width="7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N2" s="5"/>
    </row>
    <row r="3">
      <c r="A3" s="6" t="s">
        <v>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>
      <c r="A4" s="20" t="s">
        <v>3</v>
      </c>
      <c r="B4" s="21" t="s">
        <v>4</v>
      </c>
      <c r="C4" s="22" t="s">
        <v>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</row>
    <row r="5">
      <c r="A5" s="12"/>
      <c r="B5" s="12"/>
      <c r="C5" s="14" t="s">
        <v>44</v>
      </c>
      <c r="D5" s="14" t="s">
        <v>45</v>
      </c>
      <c r="E5" s="14" t="s">
        <v>46</v>
      </c>
      <c r="F5" s="14" t="s">
        <v>47</v>
      </c>
      <c r="G5" s="14" t="s">
        <v>8</v>
      </c>
      <c r="H5" s="13" t="s">
        <v>9</v>
      </c>
      <c r="I5" s="14" t="s">
        <v>10</v>
      </c>
      <c r="J5" s="14" t="s">
        <v>48</v>
      </c>
      <c r="K5" s="14" t="s">
        <v>11</v>
      </c>
      <c r="L5" s="14" t="s">
        <v>49</v>
      </c>
      <c r="M5" s="14" t="s">
        <v>12</v>
      </c>
      <c r="N5" s="14" t="s">
        <v>13</v>
      </c>
    </row>
    <row r="6">
      <c r="A6" s="15">
        <v>1.0</v>
      </c>
      <c r="B6" s="16" t="s">
        <v>50</v>
      </c>
      <c r="C6" s="15">
        <v>25.0</v>
      </c>
      <c r="D6" s="15"/>
      <c r="E6" s="15">
        <v>19.0</v>
      </c>
      <c r="F6" s="15"/>
      <c r="G6" s="15">
        <v>24.0</v>
      </c>
      <c r="H6" s="15">
        <v>30.0</v>
      </c>
      <c r="I6" s="15">
        <v>23.0</v>
      </c>
      <c r="J6" s="15">
        <v>26.0</v>
      </c>
      <c r="K6" s="15">
        <v>30.0</v>
      </c>
      <c r="L6" s="15">
        <v>13.0</v>
      </c>
      <c r="M6" s="15">
        <f>SUM(C6:L6)</f>
        <v>190</v>
      </c>
      <c r="N6" s="15">
        <f t="shared" ref="N6:N12" si="1">RANK(M6,$M$6:$M$12)</f>
        <v>1</v>
      </c>
    </row>
    <row r="7">
      <c r="A7" s="15">
        <v>2.0</v>
      </c>
      <c r="B7" s="16" t="s">
        <v>51</v>
      </c>
      <c r="C7" s="15">
        <v>20.0</v>
      </c>
      <c r="D7" s="15"/>
      <c r="E7" s="15">
        <v>13.0</v>
      </c>
      <c r="F7" s="15"/>
      <c r="G7" s="15">
        <v>18.0</v>
      </c>
      <c r="H7" s="15">
        <v>26.0</v>
      </c>
      <c r="I7" s="15">
        <v>19.0</v>
      </c>
      <c r="J7" s="15">
        <v>24.0</v>
      </c>
      <c r="K7" s="15">
        <v>26.0</v>
      </c>
      <c r="L7" s="15">
        <v>12.0</v>
      </c>
      <c r="M7" s="17">
        <f>SUM(C7:K7)</f>
        <v>146</v>
      </c>
      <c r="N7" s="15">
        <f t="shared" si="1"/>
        <v>2</v>
      </c>
    </row>
    <row r="8">
      <c r="A8" s="15">
        <v>3.0</v>
      </c>
      <c r="B8" s="16" t="s">
        <v>52</v>
      </c>
      <c r="C8" s="15">
        <v>10.0</v>
      </c>
      <c r="D8" s="15"/>
      <c r="E8" s="15">
        <v>10.0</v>
      </c>
      <c r="F8" s="15"/>
      <c r="G8" s="15"/>
      <c r="H8" s="15">
        <v>10.0</v>
      </c>
      <c r="I8" s="15"/>
      <c r="J8" s="15">
        <v>22.0</v>
      </c>
      <c r="K8" s="15">
        <v>16.0</v>
      </c>
      <c r="L8" s="15">
        <v>8.0</v>
      </c>
      <c r="M8" s="17">
        <f>SUM(C8:L8)</f>
        <v>76</v>
      </c>
      <c r="N8" s="15">
        <f t="shared" si="1"/>
        <v>3</v>
      </c>
    </row>
    <row r="9">
      <c r="A9" s="15">
        <v>4.0</v>
      </c>
      <c r="B9" s="16" t="s">
        <v>53</v>
      </c>
      <c r="C9" s="15">
        <v>10.0</v>
      </c>
      <c r="D9" s="15"/>
      <c r="E9" s="15">
        <v>10.0</v>
      </c>
      <c r="F9" s="15"/>
      <c r="G9" s="15">
        <v>10.0</v>
      </c>
      <c r="H9" s="15">
        <v>10.0</v>
      </c>
      <c r="I9" s="15">
        <v>10.0</v>
      </c>
      <c r="J9" s="15">
        <v>15.0</v>
      </c>
      <c r="K9" s="15">
        <v>10.0</v>
      </c>
      <c r="L9" s="15">
        <v>8.0</v>
      </c>
      <c r="M9" s="17">
        <f t="shared" ref="M9:M12" si="2">SUM(C9:K9)</f>
        <v>75</v>
      </c>
      <c r="N9" s="15">
        <f t="shared" si="1"/>
        <v>4</v>
      </c>
    </row>
    <row r="10">
      <c r="A10" s="15">
        <v>5.0</v>
      </c>
      <c r="B10" s="16" t="s">
        <v>54</v>
      </c>
      <c r="C10" s="15">
        <v>10.0</v>
      </c>
      <c r="D10" s="15"/>
      <c r="E10" s="15">
        <v>10.0</v>
      </c>
      <c r="F10" s="15"/>
      <c r="G10" s="15">
        <v>10.0</v>
      </c>
      <c r="H10" s="15">
        <v>10.0</v>
      </c>
      <c r="I10" s="15">
        <v>10.0</v>
      </c>
      <c r="J10" s="15"/>
      <c r="K10" s="15">
        <v>10.0</v>
      </c>
      <c r="L10" s="15">
        <v>9.0</v>
      </c>
      <c r="M10" s="17">
        <f t="shared" si="2"/>
        <v>60</v>
      </c>
      <c r="N10" s="15">
        <f t="shared" si="1"/>
        <v>5</v>
      </c>
    </row>
    <row r="11">
      <c r="A11" s="15">
        <v>6.0</v>
      </c>
      <c r="B11" s="16" t="s">
        <v>55</v>
      </c>
      <c r="C11" s="15"/>
      <c r="D11" s="15"/>
      <c r="E11" s="15">
        <v>10.0</v>
      </c>
      <c r="F11" s="15"/>
      <c r="G11" s="15"/>
      <c r="H11" s="15"/>
      <c r="I11" s="15">
        <v>10.0</v>
      </c>
      <c r="J11" s="15"/>
      <c r="K11" s="15">
        <v>10.0</v>
      </c>
      <c r="L11" s="15">
        <v>8.0</v>
      </c>
      <c r="M11" s="17">
        <f t="shared" si="2"/>
        <v>30</v>
      </c>
      <c r="N11" s="15">
        <f t="shared" si="1"/>
        <v>6</v>
      </c>
    </row>
    <row r="12">
      <c r="A12" s="15">
        <v>7.0</v>
      </c>
      <c r="B12" s="16" t="s">
        <v>56</v>
      </c>
      <c r="C12" s="15"/>
      <c r="D12" s="15"/>
      <c r="E12" s="15">
        <v>10.0</v>
      </c>
      <c r="F12" s="15"/>
      <c r="G12" s="15"/>
      <c r="H12" s="15"/>
      <c r="I12" s="15">
        <v>10.0</v>
      </c>
      <c r="J12" s="15"/>
      <c r="K12" s="15">
        <v>10.0</v>
      </c>
      <c r="L12" s="15">
        <v>8.0</v>
      </c>
      <c r="M12" s="17">
        <f t="shared" si="2"/>
        <v>30</v>
      </c>
      <c r="N12" s="15">
        <f t="shared" si="1"/>
        <v>6</v>
      </c>
    </row>
  </sheetData>
  <mergeCells count="6">
    <mergeCell ref="A1:N1"/>
    <mergeCell ref="A2:N2"/>
    <mergeCell ref="A3:N3"/>
    <mergeCell ref="A4:A5"/>
    <mergeCell ref="B4:B5"/>
    <mergeCell ref="C4:N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5.25"/>
    <col customWidth="1" min="2" max="2" width="23.38"/>
    <col customWidth="1" min="3" max="4" width="7.63"/>
    <col customWidth="1" min="5" max="5" width="8.0"/>
    <col customWidth="1" min="6" max="6" width="8.88"/>
    <col customWidth="1" min="7" max="7" width="6.75"/>
    <col customWidth="1" min="8" max="8" width="7.63"/>
    <col customWidth="1" min="9" max="10" width="6.25"/>
    <col customWidth="1" min="11" max="12" width="7.5"/>
    <col customWidth="1" min="13" max="13" width="6.0"/>
    <col customWidth="1" min="14" max="14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30</v>
      </c>
      <c r="N2" s="5"/>
    </row>
    <row r="3">
      <c r="A3" s="6" t="s">
        <v>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>
      <c r="A4" s="20" t="s">
        <v>3</v>
      </c>
      <c r="B4" s="21" t="s">
        <v>4</v>
      </c>
      <c r="C4" s="22" t="s">
        <v>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</row>
    <row r="5">
      <c r="A5" s="12"/>
      <c r="B5" s="12"/>
      <c r="C5" s="14" t="s">
        <v>44</v>
      </c>
      <c r="D5" s="14" t="s">
        <v>45</v>
      </c>
      <c r="E5" s="14" t="s">
        <v>46</v>
      </c>
      <c r="F5" s="14" t="s">
        <v>47</v>
      </c>
      <c r="G5" s="14" t="s">
        <v>8</v>
      </c>
      <c r="H5" s="13" t="s">
        <v>9</v>
      </c>
      <c r="I5" s="14" t="s">
        <v>10</v>
      </c>
      <c r="J5" s="14" t="s">
        <v>48</v>
      </c>
      <c r="K5" s="14" t="s">
        <v>11</v>
      </c>
      <c r="L5" s="14" t="s">
        <v>49</v>
      </c>
      <c r="M5" s="14" t="s">
        <v>12</v>
      </c>
      <c r="N5" s="14" t="s">
        <v>13</v>
      </c>
    </row>
    <row r="6">
      <c r="A6" s="15">
        <v>1.0</v>
      </c>
      <c r="B6" s="16" t="s">
        <v>50</v>
      </c>
      <c r="C6" s="15">
        <v>55.0</v>
      </c>
      <c r="D6" s="15">
        <v>45.0</v>
      </c>
      <c r="E6" s="15">
        <v>64.0</v>
      </c>
      <c r="F6" s="15">
        <v>48.0</v>
      </c>
      <c r="G6" s="15">
        <v>55.0</v>
      </c>
      <c r="H6" s="15">
        <v>54.0</v>
      </c>
      <c r="I6" s="15">
        <v>63.0</v>
      </c>
      <c r="J6" s="15">
        <v>50.0</v>
      </c>
      <c r="K6" s="15">
        <v>70.0</v>
      </c>
      <c r="L6" s="15">
        <v>13.0</v>
      </c>
      <c r="M6" s="15">
        <f t="shared" ref="M6:M12" si="1">SUM(C6:L6)</f>
        <v>517</v>
      </c>
      <c r="N6" s="15">
        <f t="shared" ref="N6:N12" si="2">RANK(M6,$M$6:$M$12)</f>
        <v>1</v>
      </c>
    </row>
    <row r="7">
      <c r="A7" s="15">
        <v>2.0</v>
      </c>
      <c r="B7" s="16" t="s">
        <v>51</v>
      </c>
      <c r="C7" s="15">
        <v>32.0</v>
      </c>
      <c r="D7" s="15">
        <v>44.0</v>
      </c>
      <c r="E7" s="15">
        <v>40.0</v>
      </c>
      <c r="F7" s="15">
        <v>25.0</v>
      </c>
      <c r="G7" s="15">
        <v>34.0</v>
      </c>
      <c r="H7" s="15">
        <v>38.0</v>
      </c>
      <c r="I7" s="15">
        <v>53.0</v>
      </c>
      <c r="J7" s="15">
        <v>26.0</v>
      </c>
      <c r="K7" s="15">
        <v>62.0</v>
      </c>
      <c r="L7" s="15">
        <v>12.0</v>
      </c>
      <c r="M7" s="17">
        <f t="shared" si="1"/>
        <v>366</v>
      </c>
      <c r="N7" s="15">
        <f t="shared" si="2"/>
        <v>2</v>
      </c>
    </row>
    <row r="8">
      <c r="A8" s="15">
        <v>3.0</v>
      </c>
      <c r="B8" s="16" t="s">
        <v>52</v>
      </c>
      <c r="C8" s="15">
        <v>25.0</v>
      </c>
      <c r="D8" s="15">
        <v>16.0</v>
      </c>
      <c r="E8" s="15">
        <v>25.0</v>
      </c>
      <c r="F8" s="15">
        <v>25.0</v>
      </c>
      <c r="G8" s="15"/>
      <c r="H8" s="15">
        <v>33.0</v>
      </c>
      <c r="I8" s="15">
        <v>40.0</v>
      </c>
      <c r="J8" s="15">
        <v>25.0</v>
      </c>
      <c r="K8" s="15">
        <v>26.0</v>
      </c>
      <c r="L8" s="15"/>
      <c r="M8" s="17">
        <f t="shared" si="1"/>
        <v>215</v>
      </c>
      <c r="N8" s="15">
        <f t="shared" si="2"/>
        <v>5</v>
      </c>
    </row>
    <row r="9">
      <c r="A9" s="15">
        <v>4.0</v>
      </c>
      <c r="B9" s="16" t="s">
        <v>53</v>
      </c>
      <c r="C9" s="15">
        <v>24.0</v>
      </c>
      <c r="D9" s="15">
        <v>16.0</v>
      </c>
      <c r="E9" s="15">
        <v>20.0</v>
      </c>
      <c r="F9" s="15">
        <v>20.0</v>
      </c>
      <c r="G9" s="15">
        <v>24.0</v>
      </c>
      <c r="H9" s="15">
        <v>24.0</v>
      </c>
      <c r="I9" s="15">
        <v>33.0</v>
      </c>
      <c r="J9" s="15">
        <v>24.0</v>
      </c>
      <c r="K9" s="15">
        <v>47.0</v>
      </c>
      <c r="L9" s="15">
        <v>8.0</v>
      </c>
      <c r="M9" s="17">
        <f t="shared" si="1"/>
        <v>240</v>
      </c>
      <c r="N9" s="15">
        <f t="shared" si="2"/>
        <v>3</v>
      </c>
    </row>
    <row r="10">
      <c r="A10" s="15">
        <v>5.0</v>
      </c>
      <c r="B10" s="16" t="s">
        <v>54</v>
      </c>
      <c r="C10" s="15">
        <v>24.0</v>
      </c>
      <c r="D10" s="15">
        <v>16.0</v>
      </c>
      <c r="E10" s="15">
        <v>25.0</v>
      </c>
      <c r="F10" s="15">
        <v>22.0</v>
      </c>
      <c r="G10" s="15">
        <v>24.0</v>
      </c>
      <c r="H10" s="15">
        <v>26.0</v>
      </c>
      <c r="I10" s="15">
        <v>30.0</v>
      </c>
      <c r="J10" s="15">
        <v>24.0</v>
      </c>
      <c r="K10" s="15">
        <v>29.0</v>
      </c>
      <c r="L10" s="15">
        <v>9.0</v>
      </c>
      <c r="M10" s="17">
        <f t="shared" si="1"/>
        <v>229</v>
      </c>
      <c r="N10" s="15">
        <f t="shared" si="2"/>
        <v>4</v>
      </c>
    </row>
    <row r="11">
      <c r="A11" s="15">
        <v>6.0</v>
      </c>
      <c r="B11" s="16" t="s">
        <v>55</v>
      </c>
      <c r="C11" s="15">
        <v>24.0</v>
      </c>
      <c r="D11" s="15">
        <v>16.0</v>
      </c>
      <c r="E11" s="15"/>
      <c r="F11" s="15"/>
      <c r="G11" s="15"/>
      <c r="H11" s="15"/>
      <c r="I11" s="15"/>
      <c r="J11" s="15"/>
      <c r="K11" s="15">
        <v>25.0</v>
      </c>
      <c r="L11" s="15">
        <v>8.0</v>
      </c>
      <c r="M11" s="17">
        <f t="shared" si="1"/>
        <v>73</v>
      </c>
      <c r="N11" s="15">
        <f t="shared" si="2"/>
        <v>7</v>
      </c>
    </row>
    <row r="12">
      <c r="A12" s="15">
        <v>7.0</v>
      </c>
      <c r="B12" s="16" t="s">
        <v>56</v>
      </c>
      <c r="C12" s="15"/>
      <c r="D12" s="15">
        <v>16.0</v>
      </c>
      <c r="E12" s="15">
        <v>24.0</v>
      </c>
      <c r="F12" s="15">
        <v>20.0</v>
      </c>
      <c r="G12" s="15">
        <v>24.0</v>
      </c>
      <c r="H12" s="15"/>
      <c r="I12" s="15">
        <v>25.0</v>
      </c>
      <c r="J12" s="15">
        <v>24.0</v>
      </c>
      <c r="K12" s="15"/>
      <c r="L12" s="15">
        <v>8.0</v>
      </c>
      <c r="M12" s="17">
        <f t="shared" si="1"/>
        <v>141</v>
      </c>
      <c r="N12" s="15">
        <f t="shared" si="2"/>
        <v>6</v>
      </c>
    </row>
  </sheetData>
  <mergeCells count="6">
    <mergeCell ref="A1:N1"/>
    <mergeCell ref="A2:N2"/>
    <mergeCell ref="A3:N3"/>
    <mergeCell ref="A4:A5"/>
    <mergeCell ref="B4:B5"/>
    <mergeCell ref="C4:N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</cols>
  <sheetData>
    <row r="1">
      <c r="A1" s="30" t="s">
        <v>3</v>
      </c>
      <c r="B1" s="31" t="s">
        <v>31</v>
      </c>
      <c r="C1" s="42" t="str">
        <f>'6s'!B6</f>
        <v>RIYA MONI</v>
      </c>
      <c r="D1" s="23"/>
      <c r="E1" s="23"/>
      <c r="F1" s="23"/>
      <c r="G1" s="23"/>
      <c r="H1" s="24"/>
    </row>
    <row r="2">
      <c r="A2" s="47">
        <v>1.0</v>
      </c>
      <c r="B2" s="35" t="s">
        <v>32</v>
      </c>
      <c r="C2" s="36" t="s">
        <v>33</v>
      </c>
      <c r="D2" s="36" t="s">
        <v>34</v>
      </c>
      <c r="E2" s="35" t="s">
        <v>35</v>
      </c>
      <c r="F2" s="36" t="s">
        <v>36</v>
      </c>
      <c r="G2" s="36" t="s">
        <v>37</v>
      </c>
      <c r="H2" s="36" t="s">
        <v>38</v>
      </c>
    </row>
    <row r="3">
      <c r="A3" s="5"/>
      <c r="B3" s="37" t="s">
        <v>44</v>
      </c>
      <c r="C3" s="37">
        <f>'6t'!C6</f>
        <v>25</v>
      </c>
      <c r="D3" s="37">
        <f>'6s'!C6</f>
        <v>55</v>
      </c>
      <c r="E3" s="38">
        <f t="shared" ref="E3:E12" si="1">SUM(C3:D3)</f>
        <v>80</v>
      </c>
      <c r="F3" s="38" t="str">
        <f>IF(E3&gt;=80,"A+",
IF(E3&gt;=70,"A",
IF(E3&gt;=60,"A-",
IF(E3&gt;=50,"B",
IF(E3&gt;=40,"C",
IF(E3&gt;=33,"D","F"))))))
</f>
        <v>A+</v>
      </c>
      <c r="G3" s="38">
        <f>IF(E3&gt;=80,5,
IF(E3&gt;=70,4,
IF(E3&gt;=60,3.5,
IF(E3&gt;=50,3,
IF(E3&gt;=40,2,
IF(E3&gt;=33,1,0))))))</f>
        <v>5</v>
      </c>
      <c r="H3" s="40">
        <f>AVERAGE(
VALUE(G3),
VALUE(G4),
VALUE(G5),
VALUE(G6),
VALUE(G7),
VALUE(G8),
VALUE(G9),
VALUE(G10),
VALUE(G11),
VALUE(G12))</f>
        <v>4.6</v>
      </c>
    </row>
    <row r="4">
      <c r="A4" s="5"/>
      <c r="B4" s="37" t="s">
        <v>45</v>
      </c>
      <c r="C4" s="37" t="str">
        <f>'6t'!D6</f>
        <v/>
      </c>
      <c r="D4" s="37">
        <f>'6s'!D6</f>
        <v>45</v>
      </c>
      <c r="E4" s="38">
        <f t="shared" si="1"/>
        <v>45</v>
      </c>
      <c r="F4" s="38" t="str">
        <f>IF(E4&gt;=40,"A+",
IF(E4&gt;=35,"A",
IF(E4&gt;=30,"A-",
IF(E4&gt;=25,"B",
IF(E4&gt;=20,"C",
IF(E4&gt;=16,"D","F"))))))
</f>
        <v>A+</v>
      </c>
      <c r="G4" s="38">
        <f>IF(E4&gt;=40,5,
IF(E4&gt;=35,4,
IF(E4&gt;=30,3.5,
IF(E4&gt;=25,3,
IF(E4&gt;=20,2,
IF(E4&gt;=16,1,0))))))</f>
        <v>5</v>
      </c>
      <c r="H4" s="41"/>
    </row>
    <row r="5">
      <c r="A5" s="5"/>
      <c r="B5" s="37" t="s">
        <v>57</v>
      </c>
      <c r="C5" s="37">
        <f>'6t'!E6</f>
        <v>19</v>
      </c>
      <c r="D5" s="37">
        <f>'6s'!E6</f>
        <v>64</v>
      </c>
      <c r="E5" s="38">
        <f t="shared" si="1"/>
        <v>83</v>
      </c>
      <c r="F5" s="38" t="str">
        <f>IF(E5&gt;=80,"A+",
IF(E5&gt;=70,"A",
IF(E5&gt;=60,"A-",
IF(E5&gt;=50,"B",
IF(E5&gt;=40,"C",
IF(E5&gt;=33,"D","F"))))))
</f>
        <v>A+</v>
      </c>
      <c r="G5" s="38">
        <f>IF(E5&gt;=80,5,
IF(E5&gt;=70,4,
IF(E5&gt;=60,3.5,
IF(E5&gt;=50,3,
IF(E5&gt;=40,2,
IF(E5&gt;=33,1,0))))))</f>
        <v>5</v>
      </c>
      <c r="H5" s="41"/>
    </row>
    <row r="6">
      <c r="A6" s="5"/>
      <c r="B6" s="37" t="s">
        <v>58</v>
      </c>
      <c r="C6" s="37" t="str">
        <f>'6t'!F6</f>
        <v/>
      </c>
      <c r="D6" s="37">
        <f>'6s'!F6</f>
        <v>48</v>
      </c>
      <c r="E6" s="38">
        <f t="shared" si="1"/>
        <v>48</v>
      </c>
      <c r="F6" s="38" t="str">
        <f>IF(E6&gt;=40,"A+",
IF(E6&gt;=35,"A",
IF(E6&gt;=30,"A-",
IF(E6&gt;=25,"B",
IF(E6&gt;=20,"C",
IF(E6&gt;=16,"D","F"))))))
</f>
        <v>A+</v>
      </c>
      <c r="G6" s="38">
        <f>IF(E6&gt;=40,5,
IF(E6&gt;=35,4,
IF(E6&gt;=30,3.5,
IF(E6&gt;=25,3,
IF(E6&gt;=20,2,
IF(E6&gt;=16,1,0))))))</f>
        <v>5</v>
      </c>
      <c r="H6" s="41"/>
    </row>
    <row r="7">
      <c r="A7" s="5"/>
      <c r="B7" s="38" t="s">
        <v>40</v>
      </c>
      <c r="C7" s="37">
        <f>'6t'!G6</f>
        <v>24</v>
      </c>
      <c r="D7" s="37">
        <f>'6s'!G6</f>
        <v>55</v>
      </c>
      <c r="E7" s="38">
        <f t="shared" si="1"/>
        <v>79</v>
      </c>
      <c r="F7" s="38" t="str">
        <f t="shared" ref="F7:F11" si="2">IF(E7&gt;=80,"A+",
IF(E7&gt;=70,"A",
IF(E7&gt;=60,"A-",
IF(E7&gt;=50,"B",
IF(E7&gt;=40,"C",
IF(E7&gt;=33,"D","F"))))))
</f>
        <v>A</v>
      </c>
      <c r="G7" s="38">
        <f t="shared" ref="G7:G11" si="3">IF(E7&gt;=80,5,
IF(E7&gt;=70,4,
IF(E7&gt;=60,3.5,
IF(E7&gt;=50,3,
IF(E7&gt;=40,2,
IF(E7&gt;=33,1,0))))))</f>
        <v>4</v>
      </c>
      <c r="H7" s="41"/>
    </row>
    <row r="8">
      <c r="A8" s="5"/>
      <c r="B8" s="38" t="s">
        <v>41</v>
      </c>
      <c r="C8" s="38">
        <f>'6t'!H6</f>
        <v>30</v>
      </c>
      <c r="D8" s="38">
        <f>'6s'!H6</f>
        <v>54</v>
      </c>
      <c r="E8" s="38">
        <f t="shared" si="1"/>
        <v>84</v>
      </c>
      <c r="F8" s="38" t="str">
        <f t="shared" si="2"/>
        <v>A+</v>
      </c>
      <c r="G8" s="38">
        <f t="shared" si="3"/>
        <v>5</v>
      </c>
      <c r="H8" s="41"/>
    </row>
    <row r="9">
      <c r="A9" s="5"/>
      <c r="B9" s="38" t="s">
        <v>10</v>
      </c>
      <c r="C9" s="38">
        <f>'6t'!I6</f>
        <v>23</v>
      </c>
      <c r="D9" s="38">
        <f>'6s'!I6</f>
        <v>63</v>
      </c>
      <c r="E9" s="38">
        <f t="shared" si="1"/>
        <v>86</v>
      </c>
      <c r="F9" s="38" t="str">
        <f t="shared" si="2"/>
        <v>A+</v>
      </c>
      <c r="G9" s="38">
        <f t="shared" si="3"/>
        <v>5</v>
      </c>
      <c r="H9" s="41"/>
    </row>
    <row r="10">
      <c r="A10" s="5"/>
      <c r="B10" s="37" t="s">
        <v>48</v>
      </c>
      <c r="C10" s="38">
        <f>'6t'!J6</f>
        <v>26</v>
      </c>
      <c r="D10" s="38">
        <f>'6s'!J6</f>
        <v>50</v>
      </c>
      <c r="E10" s="38">
        <f t="shared" si="1"/>
        <v>76</v>
      </c>
      <c r="F10" s="38" t="str">
        <f t="shared" si="2"/>
        <v>A</v>
      </c>
      <c r="G10" s="38">
        <f t="shared" si="3"/>
        <v>4</v>
      </c>
      <c r="H10" s="41"/>
    </row>
    <row r="11">
      <c r="A11" s="5"/>
      <c r="B11" s="38" t="s">
        <v>11</v>
      </c>
      <c r="C11" s="38">
        <f>'6t'!K6</f>
        <v>30</v>
      </c>
      <c r="D11" s="38">
        <f>'6s'!K6</f>
        <v>70</v>
      </c>
      <c r="E11" s="38">
        <f t="shared" si="1"/>
        <v>100</v>
      </c>
      <c r="F11" s="38" t="str">
        <f t="shared" si="2"/>
        <v>A+</v>
      </c>
      <c r="G11" s="38">
        <f t="shared" si="3"/>
        <v>5</v>
      </c>
      <c r="H11" s="41"/>
    </row>
    <row r="12">
      <c r="A12" s="8"/>
      <c r="B12" s="37" t="s">
        <v>49</v>
      </c>
      <c r="C12" s="38">
        <f>'6t'!L6</f>
        <v>13</v>
      </c>
      <c r="D12" s="38">
        <f>'6s'!L6</f>
        <v>13</v>
      </c>
      <c r="E12" s="38">
        <f t="shared" si="1"/>
        <v>26</v>
      </c>
      <c r="F12" s="38" t="str">
        <f>IF(E12&gt;=40,"A+",
IF(E12&gt;=35,"A",
IF(E12&gt;=30,"A-",
IF(E12&gt;=25,"B",
IF(E12&gt;=20,"C",
IF(E12&gt;=16,"D","F"))))))
</f>
        <v>B</v>
      </c>
      <c r="G12" s="38">
        <f>IF(E12&gt;=40,5,
IF(E12&gt;=35,4,
IF(E12&gt;=30,3.5,
IF(E12&gt;=25,3,
IF(E12&gt;=20,2,
IF(E12&gt;=16,1,0))))))</f>
        <v>3</v>
      </c>
      <c r="H12" s="12"/>
    </row>
    <row r="13">
      <c r="A13" s="30" t="s">
        <v>3</v>
      </c>
      <c r="B13" s="31" t="s">
        <v>31</v>
      </c>
      <c r="C13" s="42" t="str">
        <f>'6s'!B7</f>
        <v>JENIYA AKTER</v>
      </c>
      <c r="D13" s="23"/>
      <c r="E13" s="23"/>
      <c r="F13" s="23"/>
      <c r="G13" s="23"/>
      <c r="H13" s="24"/>
    </row>
    <row r="14">
      <c r="A14" s="47">
        <v>2.0</v>
      </c>
      <c r="B14" s="35" t="s">
        <v>32</v>
      </c>
      <c r="C14" s="36" t="str">
        <f>'6'!C2</f>
        <v>3rd Tutorial
Exam (30)</v>
      </c>
      <c r="D14" s="36" t="str">
        <f>'6'!D2</f>
        <v>3rd Semester
Exam (70)</v>
      </c>
      <c r="E14" s="35" t="s">
        <v>35</v>
      </c>
      <c r="F14" s="36" t="s">
        <v>36</v>
      </c>
      <c r="G14" s="36" t="s">
        <v>37</v>
      </c>
      <c r="H14" s="36" t="s">
        <v>38</v>
      </c>
    </row>
    <row r="15">
      <c r="A15" s="5"/>
      <c r="B15" s="37" t="s">
        <v>44</v>
      </c>
      <c r="C15" s="37">
        <f>'6t'!C7</f>
        <v>20</v>
      </c>
      <c r="D15" s="37">
        <f>'6s'!C7</f>
        <v>32</v>
      </c>
      <c r="E15" s="38">
        <f t="shared" ref="E15:E24" si="4">SUM(C15:D15)</f>
        <v>52</v>
      </c>
      <c r="F15" s="38" t="str">
        <f>IF(E15&gt;=80,"A+",
IF(E15&gt;=70,"A",
IF(E15&gt;=60,"A-",
IF(E15&gt;=50,"B",
IF(E15&gt;=40,"C",
IF(E15&gt;=33,"D","F"))))))
</f>
        <v>B</v>
      </c>
      <c r="G15" s="38">
        <f>IF(E15&gt;=80,5,
IF(E15&gt;=70,4,
IF(E15&gt;=60,3.5,
IF(E15&gt;=50,3,
IF(E15&gt;=40,2,
IF(E15&gt;=33,1,0))))))</f>
        <v>3</v>
      </c>
      <c r="H15" s="40">
        <f>AVERAGE(
VALUE(G15),
VALUE(G16),
VALUE(G17),
VALUE(G18),
VALUE(G19),
VALUE(G20),
VALUE(G21),
VALUE(G22),
VALUE(G23),
VALUE(G24))</f>
        <v>3.45</v>
      </c>
    </row>
    <row r="16">
      <c r="A16" s="5"/>
      <c r="B16" s="37" t="s">
        <v>45</v>
      </c>
      <c r="C16" s="37" t="str">
        <f>'6t'!D7</f>
        <v/>
      </c>
      <c r="D16" s="37">
        <f>'6s'!D7</f>
        <v>44</v>
      </c>
      <c r="E16" s="38">
        <f t="shared" si="4"/>
        <v>44</v>
      </c>
      <c r="F16" s="38" t="str">
        <f>IF(E16&gt;=40,"A+",
IF(E16&gt;=35,"A",
IF(E16&gt;=30,"A-",
IF(E16&gt;=25,"B",
IF(E16&gt;=20,"C",
IF(E16&gt;=16,"D","F"))))))
</f>
        <v>A+</v>
      </c>
      <c r="G16" s="38">
        <f>IF(E16&gt;=40,5,
IF(E16&gt;=35,4,
IF(E16&gt;=30,3.5,
IF(E16&gt;=25,3,
IF(E16&gt;=20,2,
IF(E16&gt;=16,1,0))))))</f>
        <v>5</v>
      </c>
      <c r="H16" s="41"/>
    </row>
    <row r="17">
      <c r="A17" s="5"/>
      <c r="B17" s="37" t="s">
        <v>57</v>
      </c>
      <c r="C17" s="37">
        <f>'6t'!E7</f>
        <v>13</v>
      </c>
      <c r="D17" s="37">
        <f>'6s'!E7</f>
        <v>40</v>
      </c>
      <c r="E17" s="38">
        <f t="shared" si="4"/>
        <v>53</v>
      </c>
      <c r="F17" s="38" t="str">
        <f>IF(E17&gt;=80,"A+",
IF(E17&gt;=70,"A",
IF(E17&gt;=60,"A-",
IF(E17&gt;=50,"B",
IF(E17&gt;=40,"C",
IF(E17&gt;=33,"D","F"))))))
</f>
        <v>B</v>
      </c>
      <c r="G17" s="38">
        <f>IF(E17&gt;=80,5,
IF(E17&gt;=70,4,
IF(E17&gt;=60,3.5,
IF(E17&gt;=50,3,
IF(E17&gt;=40,2,
IF(E17&gt;=33,1,0))))))</f>
        <v>3</v>
      </c>
      <c r="H17" s="41"/>
    </row>
    <row r="18">
      <c r="A18" s="5"/>
      <c r="B18" s="37" t="s">
        <v>58</v>
      </c>
      <c r="C18" s="37" t="str">
        <f>'6t'!F7</f>
        <v/>
      </c>
      <c r="D18" s="37">
        <f>'6s'!F7</f>
        <v>25</v>
      </c>
      <c r="E18" s="38">
        <f t="shared" si="4"/>
        <v>25</v>
      </c>
      <c r="F18" s="38" t="str">
        <f>IF(E18&gt;=40,"A+",
IF(E18&gt;=35,"A",
IF(E18&gt;=30,"A-",
IF(E18&gt;=25,"B",
IF(E18&gt;=20,"C",
IF(E18&gt;=16,"D","F"))))))
</f>
        <v>B</v>
      </c>
      <c r="G18" s="38">
        <f>IF(E18&gt;=40,5,
IF(E18&gt;=35,4,
IF(E18&gt;=30,3.5,
IF(E18&gt;=25,3,
IF(E18&gt;=20,2,
IF(E18&gt;=16,1,0))))))</f>
        <v>3</v>
      </c>
      <c r="H18" s="41"/>
    </row>
    <row r="19">
      <c r="A19" s="5"/>
      <c r="B19" s="38" t="s">
        <v>40</v>
      </c>
      <c r="C19" s="37">
        <f>'6t'!G7</f>
        <v>18</v>
      </c>
      <c r="D19" s="37">
        <f>'6s'!G7</f>
        <v>34</v>
      </c>
      <c r="E19" s="38">
        <f t="shared" si="4"/>
        <v>52</v>
      </c>
      <c r="F19" s="38" t="str">
        <f t="shared" ref="F19:F23" si="5">IF(E19&gt;=80,"A+",
IF(E19&gt;=70,"A",
IF(E19&gt;=60,"A-",
IF(E19&gt;=50,"B",
IF(E19&gt;=40,"C",
IF(E19&gt;=33,"D","F"))))))
</f>
        <v>B</v>
      </c>
      <c r="G19" s="38">
        <f t="shared" ref="G19:G23" si="6">IF(E19&gt;=80,5,
IF(E19&gt;=70,4,
IF(E19&gt;=60,3.5,
IF(E19&gt;=50,3,
IF(E19&gt;=40,2,
IF(E19&gt;=33,1,0))))))</f>
        <v>3</v>
      </c>
      <c r="H19" s="41"/>
    </row>
    <row r="20">
      <c r="A20" s="5"/>
      <c r="B20" s="38" t="s">
        <v>41</v>
      </c>
      <c r="C20" s="38">
        <f>'6t'!H7</f>
        <v>26</v>
      </c>
      <c r="D20" s="38">
        <f>'6s'!H7</f>
        <v>38</v>
      </c>
      <c r="E20" s="38">
        <f t="shared" si="4"/>
        <v>64</v>
      </c>
      <c r="F20" s="38" t="str">
        <f t="shared" si="5"/>
        <v>A-</v>
      </c>
      <c r="G20" s="38">
        <f t="shared" si="6"/>
        <v>3.5</v>
      </c>
      <c r="H20" s="41"/>
    </row>
    <row r="21">
      <c r="A21" s="5"/>
      <c r="B21" s="38" t="s">
        <v>10</v>
      </c>
      <c r="C21" s="38">
        <f>'6t'!I7</f>
        <v>19</v>
      </c>
      <c r="D21" s="38">
        <f>'6s'!I7</f>
        <v>53</v>
      </c>
      <c r="E21" s="38">
        <f t="shared" si="4"/>
        <v>72</v>
      </c>
      <c r="F21" s="38" t="str">
        <f t="shared" si="5"/>
        <v>A</v>
      </c>
      <c r="G21" s="38">
        <f t="shared" si="6"/>
        <v>4</v>
      </c>
      <c r="H21" s="41"/>
    </row>
    <row r="22">
      <c r="A22" s="5"/>
      <c r="B22" s="37" t="s">
        <v>48</v>
      </c>
      <c r="C22" s="38">
        <f>'6t'!J7</f>
        <v>24</v>
      </c>
      <c r="D22" s="38">
        <f>'6s'!J7</f>
        <v>26</v>
      </c>
      <c r="E22" s="38">
        <f t="shared" si="4"/>
        <v>50</v>
      </c>
      <c r="F22" s="38" t="str">
        <f t="shared" si="5"/>
        <v>B</v>
      </c>
      <c r="G22" s="38">
        <f t="shared" si="6"/>
        <v>3</v>
      </c>
      <c r="H22" s="41"/>
    </row>
    <row r="23">
      <c r="A23" s="5"/>
      <c r="B23" s="38" t="s">
        <v>11</v>
      </c>
      <c r="C23" s="38">
        <f>'6t'!K7</f>
        <v>26</v>
      </c>
      <c r="D23" s="38">
        <f>'6s'!K7</f>
        <v>62</v>
      </c>
      <c r="E23" s="38">
        <f t="shared" si="4"/>
        <v>88</v>
      </c>
      <c r="F23" s="38" t="str">
        <f t="shared" si="5"/>
        <v>A+</v>
      </c>
      <c r="G23" s="38">
        <f t="shared" si="6"/>
        <v>5</v>
      </c>
      <c r="H23" s="41"/>
    </row>
    <row r="24">
      <c r="A24" s="8"/>
      <c r="B24" s="37" t="s">
        <v>49</v>
      </c>
      <c r="C24" s="38">
        <f>'6t'!L7</f>
        <v>12</v>
      </c>
      <c r="D24" s="38">
        <f>'6s'!L7</f>
        <v>12</v>
      </c>
      <c r="E24" s="38">
        <f t="shared" si="4"/>
        <v>24</v>
      </c>
      <c r="F24" s="38" t="str">
        <f>IF(E24&gt;=40,"A+",
IF(E24&gt;=35,"A",
IF(E24&gt;=30,"A-",
IF(E24&gt;=25,"B",
IF(E24&gt;=20,"C",
IF(E24&gt;=16,"D","F"))))))
</f>
        <v>C</v>
      </c>
      <c r="G24" s="38">
        <f>IF(E24&gt;=40,5,
IF(E24&gt;=35,4,
IF(E24&gt;=30,3.5,
IF(E24&gt;=25,3,
IF(E24&gt;=20,2,
IF(E24&gt;=16,1,0))))))</f>
        <v>2</v>
      </c>
      <c r="H24" s="12"/>
    </row>
    <row r="25">
      <c r="A25" s="30" t="s">
        <v>3</v>
      </c>
      <c r="B25" s="31" t="s">
        <v>31</v>
      </c>
      <c r="C25" s="42" t="str">
        <f>'6s'!B8</f>
        <v>FATEMA AKTER</v>
      </c>
      <c r="D25" s="23"/>
      <c r="E25" s="23"/>
      <c r="F25" s="23"/>
      <c r="G25" s="23"/>
      <c r="H25" s="24"/>
    </row>
    <row r="26">
      <c r="A26" s="47">
        <v>3.0</v>
      </c>
      <c r="B26" s="35" t="s">
        <v>32</v>
      </c>
      <c r="C26" s="36" t="str">
        <f>'6'!C14</f>
        <v>3rd Tutorial
Exam (30)</v>
      </c>
      <c r="D26" s="36" t="str">
        <f>'6'!D14</f>
        <v>3rd Semester
Exam (70)</v>
      </c>
      <c r="E26" s="35" t="s">
        <v>35</v>
      </c>
      <c r="F26" s="36" t="s">
        <v>36</v>
      </c>
      <c r="G26" s="36" t="s">
        <v>37</v>
      </c>
      <c r="H26" s="36" t="s">
        <v>38</v>
      </c>
    </row>
    <row r="27">
      <c r="A27" s="5"/>
      <c r="B27" s="37" t="s">
        <v>44</v>
      </c>
      <c r="C27" s="37">
        <f>'6t'!C8</f>
        <v>10</v>
      </c>
      <c r="D27" s="37">
        <f>'6s'!C8</f>
        <v>25</v>
      </c>
      <c r="E27" s="38">
        <f t="shared" ref="E27:E36" si="7">SUM(C27:D27)</f>
        <v>35</v>
      </c>
      <c r="F27" s="38" t="str">
        <f>IF(E27&gt;=80,"A+",
IF(E27&gt;=70,"A",
IF(E27&gt;=60,"A-",
IF(E27&gt;=50,"B",
IF(E27&gt;=40,"C",
IF(E27&gt;=33,"D","F"))))))
</f>
        <v>D</v>
      </c>
      <c r="G27" s="38">
        <f>IF(E27&gt;=80,5,
IF(E27&gt;=70,4,
IF(E27&gt;=60,3.5,
IF(E27&gt;=50,3,
IF(E27&gt;=40,2,
IF(E27&gt;=33,1,0))))))</f>
        <v>1</v>
      </c>
      <c r="H27" s="40">
        <f>AVERAGE(
VALUE(G27),
VALUE(G28),
VALUE(G29),
VALUE(G30),
VALUE(G31),
VALUE(G32),
VALUE(G33),
VALUE(G34),
VALUE(G35),
VALUE(G36))</f>
        <v>1.4</v>
      </c>
    </row>
    <row r="28">
      <c r="A28" s="5"/>
      <c r="B28" s="37" t="s">
        <v>45</v>
      </c>
      <c r="C28" s="37" t="str">
        <f>'6t'!D8</f>
        <v/>
      </c>
      <c r="D28" s="37">
        <f>'6s'!D8</f>
        <v>16</v>
      </c>
      <c r="E28" s="38">
        <f t="shared" si="7"/>
        <v>16</v>
      </c>
      <c r="F28" s="38" t="str">
        <f>IF(E28&gt;=40,"A+",
IF(E28&gt;=35,"A",
IF(E28&gt;=30,"A-",
IF(E28&gt;=25,"B",
IF(E28&gt;=20,"C",
IF(E28&gt;=16,"D","F"))))))
</f>
        <v>D</v>
      </c>
      <c r="G28" s="38">
        <f>IF(E28&gt;=40,5,
IF(E28&gt;=35,4,
IF(E28&gt;=30,3.5,
IF(E28&gt;=25,3,
IF(E28&gt;=20,2,
IF(E28&gt;=16,1,0))))))</f>
        <v>1</v>
      </c>
      <c r="H28" s="41"/>
    </row>
    <row r="29">
      <c r="A29" s="5"/>
      <c r="B29" s="37" t="s">
        <v>57</v>
      </c>
      <c r="C29" s="37">
        <f>'6t'!E8</f>
        <v>10</v>
      </c>
      <c r="D29" s="37">
        <f>'6s'!E8</f>
        <v>25</v>
      </c>
      <c r="E29" s="38">
        <f t="shared" si="7"/>
        <v>35</v>
      </c>
      <c r="F29" s="38" t="str">
        <f>IF(E29&gt;=80,"A+",
IF(E29&gt;=70,"A",
IF(E29&gt;=60,"A-",
IF(E29&gt;=50,"B",
IF(E29&gt;=40,"C",
IF(E29&gt;=33,"D","F"))))))
</f>
        <v>D</v>
      </c>
      <c r="G29" s="38">
        <f>IF(E29&gt;=80,5,
IF(E29&gt;=70,4,
IF(E29&gt;=60,3.5,
IF(E29&gt;=50,3,
IF(E29&gt;=40,2,
IF(E29&gt;=33,1,0))))))</f>
        <v>1</v>
      </c>
      <c r="H29" s="41"/>
    </row>
    <row r="30">
      <c r="A30" s="5"/>
      <c r="B30" s="37" t="s">
        <v>58</v>
      </c>
      <c r="C30" s="37" t="str">
        <f>'6t'!F8</f>
        <v/>
      </c>
      <c r="D30" s="37">
        <f>'6s'!F8</f>
        <v>25</v>
      </c>
      <c r="E30" s="38">
        <f t="shared" si="7"/>
        <v>25</v>
      </c>
      <c r="F30" s="38" t="str">
        <f>IF(E30&gt;=40,"A+",
IF(E30&gt;=35,"A",
IF(E30&gt;=30,"A-",
IF(E30&gt;=25,"B",
IF(E30&gt;=20,"C",
IF(E30&gt;=16,"D","F"))))))
</f>
        <v>B</v>
      </c>
      <c r="G30" s="38">
        <f>IF(E30&gt;=40,5,
IF(E30&gt;=35,4,
IF(E30&gt;=30,3.5,
IF(E30&gt;=25,3,
IF(E30&gt;=20,2,
IF(E30&gt;=16,1,0))))))</f>
        <v>3</v>
      </c>
      <c r="H30" s="41"/>
    </row>
    <row r="31">
      <c r="A31" s="5"/>
      <c r="B31" s="38" t="s">
        <v>40</v>
      </c>
      <c r="C31" s="37" t="str">
        <f>'6t'!G8</f>
        <v/>
      </c>
      <c r="D31" s="37" t="str">
        <f>'6s'!G8</f>
        <v/>
      </c>
      <c r="E31" s="38">
        <f t="shared" si="7"/>
        <v>0</v>
      </c>
      <c r="F31" s="38" t="str">
        <f t="shared" ref="F31:F35" si="8">IF(E31&gt;=80,"A+",
IF(E31&gt;=70,"A",
IF(E31&gt;=60,"A-",
IF(E31&gt;=50,"B",
IF(E31&gt;=40,"C",
IF(E31&gt;=33,"D","F"))))))
</f>
        <v>F</v>
      </c>
      <c r="G31" s="38">
        <f t="shared" ref="G31:G35" si="9">IF(E31&gt;=80,5,
IF(E31&gt;=70,4,
IF(E31&gt;=60,3.5,
IF(E31&gt;=50,3,
IF(E31&gt;=40,2,
IF(E31&gt;=33,1,0))))))</f>
        <v>0</v>
      </c>
      <c r="H31" s="41"/>
    </row>
    <row r="32">
      <c r="A32" s="5"/>
      <c r="B32" s="38" t="s">
        <v>41</v>
      </c>
      <c r="C32" s="38">
        <f>'6t'!H8</f>
        <v>10</v>
      </c>
      <c r="D32" s="38">
        <f>'6s'!H8</f>
        <v>33</v>
      </c>
      <c r="E32" s="38">
        <f t="shared" si="7"/>
        <v>43</v>
      </c>
      <c r="F32" s="38" t="str">
        <f t="shared" si="8"/>
        <v>C</v>
      </c>
      <c r="G32" s="38">
        <f t="shared" si="9"/>
        <v>2</v>
      </c>
      <c r="H32" s="41"/>
    </row>
    <row r="33">
      <c r="A33" s="5"/>
      <c r="B33" s="38" t="s">
        <v>10</v>
      </c>
      <c r="C33" s="38" t="str">
        <f>'6t'!I8</f>
        <v/>
      </c>
      <c r="D33" s="38">
        <f>'6s'!I8</f>
        <v>40</v>
      </c>
      <c r="E33" s="38">
        <f t="shared" si="7"/>
        <v>40</v>
      </c>
      <c r="F33" s="38" t="str">
        <f t="shared" si="8"/>
        <v>C</v>
      </c>
      <c r="G33" s="38">
        <f t="shared" si="9"/>
        <v>2</v>
      </c>
      <c r="H33" s="41"/>
    </row>
    <row r="34">
      <c r="A34" s="5"/>
      <c r="B34" s="37" t="s">
        <v>48</v>
      </c>
      <c r="C34" s="38">
        <f>'6t'!J8</f>
        <v>22</v>
      </c>
      <c r="D34" s="38">
        <f>'6s'!J8</f>
        <v>25</v>
      </c>
      <c r="E34" s="38">
        <f t="shared" si="7"/>
        <v>47</v>
      </c>
      <c r="F34" s="38" t="str">
        <f t="shared" si="8"/>
        <v>C</v>
      </c>
      <c r="G34" s="38">
        <f t="shared" si="9"/>
        <v>2</v>
      </c>
      <c r="H34" s="41"/>
    </row>
    <row r="35">
      <c r="A35" s="5"/>
      <c r="B35" s="38" t="s">
        <v>11</v>
      </c>
      <c r="C35" s="38">
        <f>'6t'!K8</f>
        <v>16</v>
      </c>
      <c r="D35" s="38">
        <f>'6s'!K8</f>
        <v>26</v>
      </c>
      <c r="E35" s="38">
        <f t="shared" si="7"/>
        <v>42</v>
      </c>
      <c r="F35" s="38" t="str">
        <f t="shared" si="8"/>
        <v>C</v>
      </c>
      <c r="G35" s="38">
        <f t="shared" si="9"/>
        <v>2</v>
      </c>
      <c r="H35" s="41"/>
    </row>
    <row r="36">
      <c r="A36" s="8"/>
      <c r="B36" s="37" t="s">
        <v>49</v>
      </c>
      <c r="C36" s="38">
        <f>'6t'!L8</f>
        <v>8</v>
      </c>
      <c r="D36" s="38" t="str">
        <f>'6s'!L8</f>
        <v/>
      </c>
      <c r="E36" s="38">
        <f t="shared" si="7"/>
        <v>8</v>
      </c>
      <c r="F36" s="38" t="str">
        <f>IF(E36&gt;=40,"A+",
IF(E36&gt;=35,"A",
IF(E36&gt;=30,"A-",
IF(E36&gt;=25,"B",
IF(E36&gt;=20,"C",
IF(E36&gt;=16,"D","F"))))))
</f>
        <v>F</v>
      </c>
      <c r="G36" s="38">
        <f>IF(E36&gt;=40,5,
IF(E36&gt;=35,4,
IF(E36&gt;=30,3.5,
IF(E36&gt;=25,3,
IF(E36&gt;=20,2,
IF(E36&gt;=16,1,0))))))</f>
        <v>0</v>
      </c>
      <c r="H36" s="12"/>
    </row>
    <row r="37">
      <c r="A37" s="30" t="s">
        <v>3</v>
      </c>
      <c r="B37" s="31" t="s">
        <v>31</v>
      </c>
      <c r="C37" s="42" t="str">
        <f>'6s'!B9</f>
        <v>USAMA</v>
      </c>
      <c r="D37" s="23"/>
      <c r="E37" s="23"/>
      <c r="F37" s="23"/>
      <c r="G37" s="23"/>
      <c r="H37" s="24"/>
    </row>
    <row r="38">
      <c r="A38" s="47">
        <v>4.0</v>
      </c>
      <c r="B38" s="35" t="s">
        <v>32</v>
      </c>
      <c r="C38" s="36" t="str">
        <f>'6'!C26</f>
        <v>3rd Tutorial
Exam (30)</v>
      </c>
      <c r="D38" s="36" t="str">
        <f>'6'!D26</f>
        <v>3rd Semester
Exam (70)</v>
      </c>
      <c r="E38" s="35" t="s">
        <v>35</v>
      </c>
      <c r="F38" s="36" t="s">
        <v>36</v>
      </c>
      <c r="G38" s="36" t="s">
        <v>37</v>
      </c>
      <c r="H38" s="36" t="s">
        <v>38</v>
      </c>
    </row>
    <row r="39">
      <c r="A39" s="5"/>
      <c r="B39" s="37" t="s">
        <v>44</v>
      </c>
      <c r="C39" s="37">
        <f>'6t'!C9</f>
        <v>10</v>
      </c>
      <c r="D39" s="37">
        <f>'6s'!C9</f>
        <v>24</v>
      </c>
      <c r="E39" s="38">
        <f t="shared" ref="E39:E48" si="10">SUM(C39:D39)</f>
        <v>34</v>
      </c>
      <c r="F39" s="38" t="str">
        <f>IF(E39&gt;=80,"A+",
IF(E39&gt;=70,"A",
IF(E39&gt;=60,"A-",
IF(E39&gt;=50,"B",
IF(E39&gt;=40,"C",
IF(E39&gt;=33,"D","F"))))))
</f>
        <v>D</v>
      </c>
      <c r="G39" s="38">
        <f>IF(E39&gt;=80,5,
IF(E39&gt;=70,4,
IF(E39&gt;=60,3.5,
IF(E39&gt;=50,3,
IF(E39&gt;=40,2,
IF(E39&gt;=33,1,0))))))</f>
        <v>1</v>
      </c>
      <c r="H39" s="40">
        <f>AVERAGE(
VALUE(G39),
VALUE(G40),
VALUE(G41),
VALUE(G42),
VALUE(G43),
VALUE(G44),
VALUE(G45),
VALUE(G46),
VALUE(G47),
VALUE(G48))</f>
        <v>1.3</v>
      </c>
    </row>
    <row r="40">
      <c r="A40" s="5"/>
      <c r="B40" s="37" t="s">
        <v>45</v>
      </c>
      <c r="C40" s="37" t="str">
        <f>'6t'!D9</f>
        <v/>
      </c>
      <c r="D40" s="37">
        <f>'6s'!D9</f>
        <v>16</v>
      </c>
      <c r="E40" s="38">
        <f t="shared" si="10"/>
        <v>16</v>
      </c>
      <c r="F40" s="38" t="str">
        <f>IF(E40&gt;=40,"A+",
IF(E40&gt;=35,"A",
IF(E40&gt;=30,"A-",
IF(E40&gt;=25,"B",
IF(E40&gt;=20,"C",
IF(E40&gt;=16,"D","F"))))))
</f>
        <v>D</v>
      </c>
      <c r="G40" s="38">
        <f>IF(E40&gt;=40,5,
IF(E40&gt;=35,4,
IF(E40&gt;=30,3.5,
IF(E40&gt;=25,3,
IF(E40&gt;=20,2,
IF(E40&gt;=16,1,0))))))</f>
        <v>1</v>
      </c>
      <c r="H40" s="41"/>
    </row>
    <row r="41">
      <c r="A41" s="5"/>
      <c r="B41" s="37" t="s">
        <v>57</v>
      </c>
      <c r="C41" s="37">
        <f>'6t'!E9</f>
        <v>10</v>
      </c>
      <c r="D41" s="37">
        <f>'6s'!E9</f>
        <v>20</v>
      </c>
      <c r="E41" s="38">
        <f t="shared" si="10"/>
        <v>30</v>
      </c>
      <c r="F41" s="38" t="str">
        <f>IF(E41&gt;=80,"A+",
IF(E41&gt;=70,"A",
IF(E41&gt;=60,"A-",
IF(E41&gt;=50,"B",
IF(E41&gt;=40,"C",
IF(E41&gt;=33,"D","F"))))))
</f>
        <v>F</v>
      </c>
      <c r="G41" s="38">
        <f>IF(E41&gt;=80,5,
IF(E41&gt;=70,4,
IF(E41&gt;=60,3.5,
IF(E41&gt;=50,3,
IF(E41&gt;=40,2,
IF(E41&gt;=33,1,0))))))</f>
        <v>0</v>
      </c>
      <c r="H41" s="41"/>
    </row>
    <row r="42">
      <c r="A42" s="5"/>
      <c r="B42" s="37" t="s">
        <v>58</v>
      </c>
      <c r="C42" s="37" t="str">
        <f>'6t'!F9</f>
        <v/>
      </c>
      <c r="D42" s="37">
        <f>'6s'!F9</f>
        <v>20</v>
      </c>
      <c r="E42" s="38">
        <f t="shared" si="10"/>
        <v>20</v>
      </c>
      <c r="F42" s="38" t="str">
        <f>IF(E42&gt;=40,"A+",
IF(E42&gt;=35,"A",
IF(E42&gt;=30,"A-",
IF(E42&gt;=25,"B",
IF(E42&gt;=20,"C",
IF(E42&gt;=16,"D","F"))))))
</f>
        <v>C</v>
      </c>
      <c r="G42" s="38">
        <f>IF(E42&gt;=40,5,
IF(E42&gt;=35,4,
IF(E42&gt;=30,3.5,
IF(E42&gt;=25,3,
IF(E42&gt;=20,2,
IF(E42&gt;=16,1,0))))))</f>
        <v>2</v>
      </c>
      <c r="H42" s="41"/>
    </row>
    <row r="43">
      <c r="A43" s="5"/>
      <c r="B43" s="38" t="s">
        <v>40</v>
      </c>
      <c r="C43" s="37">
        <f>'6t'!G9</f>
        <v>10</v>
      </c>
      <c r="D43" s="37">
        <f>'6s'!G9</f>
        <v>24</v>
      </c>
      <c r="E43" s="38">
        <f t="shared" si="10"/>
        <v>34</v>
      </c>
      <c r="F43" s="38" t="str">
        <f t="shared" ref="F43:F47" si="11">IF(E43&gt;=80,"A+",
IF(E43&gt;=70,"A",
IF(E43&gt;=60,"A-",
IF(E43&gt;=50,"B",
IF(E43&gt;=40,"C",
IF(E43&gt;=33,"D","F"))))))
</f>
        <v>D</v>
      </c>
      <c r="G43" s="38">
        <f t="shared" ref="G43:G47" si="12">IF(E43&gt;=80,5,
IF(E43&gt;=70,4,
IF(E43&gt;=60,3.5,
IF(E43&gt;=50,3,
IF(E43&gt;=40,2,
IF(E43&gt;=33,1,0))))))</f>
        <v>1</v>
      </c>
      <c r="H43" s="41"/>
    </row>
    <row r="44">
      <c r="A44" s="5"/>
      <c r="B44" s="38" t="s">
        <v>41</v>
      </c>
      <c r="C44" s="38">
        <f>'6t'!H9</f>
        <v>10</v>
      </c>
      <c r="D44" s="38">
        <f>'6s'!H9</f>
        <v>24</v>
      </c>
      <c r="E44" s="38">
        <f t="shared" si="10"/>
        <v>34</v>
      </c>
      <c r="F44" s="38" t="str">
        <f t="shared" si="11"/>
        <v>D</v>
      </c>
      <c r="G44" s="38">
        <f t="shared" si="12"/>
        <v>1</v>
      </c>
      <c r="H44" s="41"/>
    </row>
    <row r="45">
      <c r="A45" s="5"/>
      <c r="B45" s="38" t="s">
        <v>10</v>
      </c>
      <c r="C45" s="38">
        <f>'6t'!I9</f>
        <v>10</v>
      </c>
      <c r="D45" s="38">
        <f>'6s'!I9</f>
        <v>33</v>
      </c>
      <c r="E45" s="38">
        <f t="shared" si="10"/>
        <v>43</v>
      </c>
      <c r="F45" s="38" t="str">
        <f t="shared" si="11"/>
        <v>C</v>
      </c>
      <c r="G45" s="38">
        <f t="shared" si="12"/>
        <v>2</v>
      </c>
      <c r="H45" s="41"/>
    </row>
    <row r="46">
      <c r="A46" s="5"/>
      <c r="B46" s="37" t="s">
        <v>48</v>
      </c>
      <c r="C46" s="38">
        <f>'6t'!J9</f>
        <v>15</v>
      </c>
      <c r="D46" s="38">
        <f>'6s'!J9</f>
        <v>24</v>
      </c>
      <c r="E46" s="38">
        <f t="shared" si="10"/>
        <v>39</v>
      </c>
      <c r="F46" s="38" t="str">
        <f t="shared" si="11"/>
        <v>D</v>
      </c>
      <c r="G46" s="38">
        <f t="shared" si="12"/>
        <v>1</v>
      </c>
      <c r="H46" s="41"/>
    </row>
    <row r="47">
      <c r="A47" s="5"/>
      <c r="B47" s="38" t="s">
        <v>11</v>
      </c>
      <c r="C47" s="38">
        <f>'6t'!K9</f>
        <v>10</v>
      </c>
      <c r="D47" s="38">
        <f>'6s'!K9</f>
        <v>47</v>
      </c>
      <c r="E47" s="38">
        <f t="shared" si="10"/>
        <v>57</v>
      </c>
      <c r="F47" s="38" t="str">
        <f t="shared" si="11"/>
        <v>B</v>
      </c>
      <c r="G47" s="38">
        <f t="shared" si="12"/>
        <v>3</v>
      </c>
      <c r="H47" s="41"/>
    </row>
    <row r="48">
      <c r="A48" s="8"/>
      <c r="B48" s="37" t="s">
        <v>49</v>
      </c>
      <c r="C48" s="38">
        <f>'6t'!L9</f>
        <v>8</v>
      </c>
      <c r="D48" s="38">
        <f>'6s'!L9</f>
        <v>8</v>
      </c>
      <c r="E48" s="38">
        <f t="shared" si="10"/>
        <v>16</v>
      </c>
      <c r="F48" s="38" t="str">
        <f>IF(E48&gt;=40,"A+",
IF(E48&gt;=35,"A",
IF(E48&gt;=30,"A-",
IF(E48&gt;=25,"B",
IF(E48&gt;=20,"C",
IF(E48&gt;=16,"D","F"))))))
</f>
        <v>D</v>
      </c>
      <c r="G48" s="38">
        <f>IF(E48&gt;=40,5,
IF(E48&gt;=35,4,
IF(E48&gt;=30,3.5,
IF(E48&gt;=25,3,
IF(E48&gt;=20,2,
IF(E48&gt;=16,1,0))))))</f>
        <v>1</v>
      </c>
      <c r="H48" s="12"/>
    </row>
    <row r="49">
      <c r="A49" s="30" t="s">
        <v>3</v>
      </c>
      <c r="B49" s="31" t="s">
        <v>31</v>
      </c>
      <c r="C49" s="42" t="str">
        <f>'6s'!B10</f>
        <v>SHAHABIR</v>
      </c>
      <c r="D49" s="23"/>
      <c r="E49" s="23"/>
      <c r="F49" s="23"/>
      <c r="G49" s="23"/>
      <c r="H49" s="24"/>
    </row>
    <row r="50">
      <c r="A50" s="47">
        <v>5.0</v>
      </c>
      <c r="B50" s="35" t="s">
        <v>32</v>
      </c>
      <c r="C50" s="36" t="str">
        <f>'6'!C38</f>
        <v>3rd Tutorial
Exam (30)</v>
      </c>
      <c r="D50" s="36" t="str">
        <f>'6'!D38</f>
        <v>3rd Semester
Exam (70)</v>
      </c>
      <c r="E50" s="35" t="s">
        <v>35</v>
      </c>
      <c r="F50" s="36" t="s">
        <v>36</v>
      </c>
      <c r="G50" s="36" t="s">
        <v>37</v>
      </c>
      <c r="H50" s="36" t="s">
        <v>38</v>
      </c>
    </row>
    <row r="51">
      <c r="A51" s="5"/>
      <c r="B51" s="37" t="s">
        <v>44</v>
      </c>
      <c r="C51" s="37">
        <f>'6t'!C10</f>
        <v>10</v>
      </c>
      <c r="D51" s="37">
        <f>'6s'!C10</f>
        <v>24</v>
      </c>
      <c r="E51" s="38">
        <f t="shared" ref="E51:E60" si="13">SUM(C51:D51)</f>
        <v>34</v>
      </c>
      <c r="F51" s="38" t="str">
        <f>IF(E51&gt;=80,"A+",
IF(E51&gt;=70,"A",
IF(E51&gt;=60,"A-",
IF(E51&gt;=50,"B",
IF(E51&gt;=40,"C",
IF(E51&gt;=33,"D","F"))))))
</f>
        <v>D</v>
      </c>
      <c r="G51" s="38">
        <f>IF(E51&gt;=80,5,
IF(E51&gt;=70,4,
IF(E51&gt;=60,3.5,
IF(E51&gt;=50,3,
IF(E51&gt;=40,2,
IF(E51&gt;=33,1,0))))))</f>
        <v>1</v>
      </c>
      <c r="H51" s="40">
        <f>AVERAGE(
VALUE(G51),
VALUE(G52),
VALUE(G53),
VALUE(G54),
VALUE(G55),
VALUE(G56),
VALUE(G57),
VALUE(G58),
VALUE(G59),
VALUE(G60))</f>
        <v>1.1</v>
      </c>
    </row>
    <row r="52">
      <c r="A52" s="5"/>
      <c r="B52" s="37" t="s">
        <v>45</v>
      </c>
      <c r="C52" s="37" t="str">
        <f>'6t'!D10</f>
        <v/>
      </c>
      <c r="D52" s="37">
        <f>'6s'!D10</f>
        <v>16</v>
      </c>
      <c r="E52" s="38">
        <f t="shared" si="13"/>
        <v>16</v>
      </c>
      <c r="F52" s="38" t="str">
        <f>IF(E52&gt;=40,"A+",
IF(E52&gt;=35,"A",
IF(E52&gt;=30,"A-",
IF(E52&gt;=25,"B",
IF(E52&gt;=20,"C",
IF(E52&gt;=16,"D","F"))))))
</f>
        <v>D</v>
      </c>
      <c r="G52" s="38">
        <f>IF(E52&gt;=40,5,
IF(E52&gt;=35,4,
IF(E52&gt;=30,3.5,
IF(E52&gt;=25,3,
IF(E52&gt;=20,2,
IF(E52&gt;=16,1,0))))))</f>
        <v>1</v>
      </c>
      <c r="H52" s="41"/>
    </row>
    <row r="53">
      <c r="A53" s="5"/>
      <c r="B53" s="37" t="s">
        <v>57</v>
      </c>
      <c r="C53" s="37">
        <f>'6t'!E10</f>
        <v>10</v>
      </c>
      <c r="D53" s="37">
        <f>'6s'!E10</f>
        <v>25</v>
      </c>
      <c r="E53" s="38">
        <f t="shared" si="13"/>
        <v>35</v>
      </c>
      <c r="F53" s="38" t="str">
        <f>IF(E53&gt;=80,"A+",
IF(E53&gt;=70,"A",
IF(E53&gt;=60,"A-",
IF(E53&gt;=50,"B",
IF(E53&gt;=40,"C",
IF(E53&gt;=33,"D","F"))))))
</f>
        <v>D</v>
      </c>
      <c r="G53" s="38">
        <f>IF(E53&gt;=80,5,
IF(E53&gt;=70,4,
IF(E53&gt;=60,3.5,
IF(E53&gt;=50,3,
IF(E53&gt;=40,2,
IF(E53&gt;=33,1,0))))))</f>
        <v>1</v>
      </c>
      <c r="H53" s="41"/>
    </row>
    <row r="54">
      <c r="A54" s="5"/>
      <c r="B54" s="37" t="s">
        <v>58</v>
      </c>
      <c r="C54" s="37" t="str">
        <f>'6t'!F10</f>
        <v/>
      </c>
      <c r="D54" s="37">
        <f>'6s'!F10</f>
        <v>22</v>
      </c>
      <c r="E54" s="38">
        <f t="shared" si="13"/>
        <v>22</v>
      </c>
      <c r="F54" s="38" t="str">
        <f>IF(E54&gt;=40,"A+",
IF(E54&gt;=35,"A",
IF(E54&gt;=30,"A-",
IF(E54&gt;=25,"B",
IF(E54&gt;=20,"C",
IF(E54&gt;=16,"D","F"))))))
</f>
        <v>C</v>
      </c>
      <c r="G54" s="38">
        <f>IF(E54&gt;=40,5,
IF(E54&gt;=35,4,
IF(E54&gt;=30,3.5,
IF(E54&gt;=25,3,
IF(E54&gt;=20,2,
IF(E54&gt;=16,1,0))))))</f>
        <v>2</v>
      </c>
      <c r="H54" s="41"/>
    </row>
    <row r="55">
      <c r="A55" s="5"/>
      <c r="B55" s="38" t="s">
        <v>40</v>
      </c>
      <c r="C55" s="37">
        <f>'6t'!G10</f>
        <v>10</v>
      </c>
      <c r="D55" s="37">
        <f>'6s'!G10</f>
        <v>24</v>
      </c>
      <c r="E55" s="38">
        <f t="shared" si="13"/>
        <v>34</v>
      </c>
      <c r="F55" s="38" t="str">
        <f t="shared" ref="F55:F59" si="14">IF(E55&gt;=80,"A+",
IF(E55&gt;=70,"A",
IF(E55&gt;=60,"A-",
IF(E55&gt;=50,"B",
IF(E55&gt;=40,"C",
IF(E55&gt;=33,"D","F"))))))
</f>
        <v>D</v>
      </c>
      <c r="G55" s="38">
        <f t="shared" ref="G55:G59" si="15">IF(E55&gt;=80,5,
IF(E55&gt;=70,4,
IF(E55&gt;=60,3.5,
IF(E55&gt;=50,3,
IF(E55&gt;=40,2,
IF(E55&gt;=33,1,0))))))</f>
        <v>1</v>
      </c>
      <c r="H55" s="41"/>
    </row>
    <row r="56">
      <c r="A56" s="5"/>
      <c r="B56" s="38" t="s">
        <v>41</v>
      </c>
      <c r="C56" s="38">
        <f>'6t'!H10</f>
        <v>10</v>
      </c>
      <c r="D56" s="38">
        <f>'6s'!H10</f>
        <v>26</v>
      </c>
      <c r="E56" s="38">
        <f t="shared" si="13"/>
        <v>36</v>
      </c>
      <c r="F56" s="38" t="str">
        <f t="shared" si="14"/>
        <v>D</v>
      </c>
      <c r="G56" s="38">
        <f t="shared" si="15"/>
        <v>1</v>
      </c>
      <c r="H56" s="41"/>
    </row>
    <row r="57">
      <c r="A57" s="5"/>
      <c r="B57" s="38" t="s">
        <v>10</v>
      </c>
      <c r="C57" s="38">
        <f>'6t'!I10</f>
        <v>10</v>
      </c>
      <c r="D57" s="38">
        <f>'6s'!I10</f>
        <v>30</v>
      </c>
      <c r="E57" s="38">
        <f t="shared" si="13"/>
        <v>40</v>
      </c>
      <c r="F57" s="38" t="str">
        <f t="shared" si="14"/>
        <v>C</v>
      </c>
      <c r="G57" s="38">
        <f t="shared" si="15"/>
        <v>2</v>
      </c>
      <c r="H57" s="41"/>
    </row>
    <row r="58">
      <c r="A58" s="5"/>
      <c r="B58" s="37" t="s">
        <v>48</v>
      </c>
      <c r="C58" s="38" t="str">
        <f>'6t'!J10</f>
        <v/>
      </c>
      <c r="D58" s="38">
        <f>'6s'!J10</f>
        <v>24</v>
      </c>
      <c r="E58" s="38">
        <f t="shared" si="13"/>
        <v>24</v>
      </c>
      <c r="F58" s="38" t="str">
        <f t="shared" si="14"/>
        <v>F</v>
      </c>
      <c r="G58" s="38">
        <f t="shared" si="15"/>
        <v>0</v>
      </c>
      <c r="H58" s="41"/>
    </row>
    <row r="59">
      <c r="A59" s="5"/>
      <c r="B59" s="38" t="s">
        <v>11</v>
      </c>
      <c r="C59" s="38">
        <f>'6t'!K10</f>
        <v>10</v>
      </c>
      <c r="D59" s="38">
        <f>'6s'!K10</f>
        <v>29</v>
      </c>
      <c r="E59" s="38">
        <f t="shared" si="13"/>
        <v>39</v>
      </c>
      <c r="F59" s="38" t="str">
        <f t="shared" si="14"/>
        <v>D</v>
      </c>
      <c r="G59" s="38">
        <f t="shared" si="15"/>
        <v>1</v>
      </c>
      <c r="H59" s="41"/>
    </row>
    <row r="60">
      <c r="A60" s="8"/>
      <c r="B60" s="37" t="s">
        <v>49</v>
      </c>
      <c r="C60" s="38">
        <f>'6t'!L10</f>
        <v>9</v>
      </c>
      <c r="D60" s="38">
        <f>'6s'!L10</f>
        <v>9</v>
      </c>
      <c r="E60" s="38">
        <f t="shared" si="13"/>
        <v>18</v>
      </c>
      <c r="F60" s="38" t="str">
        <f>IF(E60&gt;=40,"A+",
IF(E60&gt;=35,"A",
IF(E60&gt;=30,"A-",
IF(E60&gt;=25,"B",
IF(E60&gt;=20,"C",
IF(E60&gt;=16,"D","F"))))))
</f>
        <v>D</v>
      </c>
      <c r="G60" s="38">
        <f>IF(E60&gt;=40,5,
IF(E60&gt;=35,4,
IF(E60&gt;=30,3.5,
IF(E60&gt;=25,3,
IF(E60&gt;=20,2,
IF(E60&gt;=16,1,0))))))</f>
        <v>1</v>
      </c>
      <c r="H60" s="12"/>
    </row>
    <row r="61">
      <c r="A61" s="30" t="s">
        <v>3</v>
      </c>
      <c r="B61" s="31" t="s">
        <v>31</v>
      </c>
      <c r="C61" s="42" t="str">
        <f>'6s'!B11</f>
        <v>MIM AKTER SHATHI</v>
      </c>
      <c r="D61" s="23"/>
      <c r="E61" s="23"/>
      <c r="F61" s="23"/>
      <c r="G61" s="23"/>
      <c r="H61" s="24"/>
    </row>
    <row r="62">
      <c r="A62" s="47">
        <v>6.0</v>
      </c>
      <c r="B62" s="35" t="s">
        <v>32</v>
      </c>
      <c r="C62" s="36" t="str">
        <f>'6'!C50</f>
        <v>3rd Tutorial
Exam (30)</v>
      </c>
      <c r="D62" s="36" t="str">
        <f>'6'!D50</f>
        <v>3rd Semester
Exam (70)</v>
      </c>
      <c r="E62" s="35" t="s">
        <v>35</v>
      </c>
      <c r="F62" s="36" t="s">
        <v>36</v>
      </c>
      <c r="G62" s="36" t="s">
        <v>37</v>
      </c>
      <c r="H62" s="36" t="s">
        <v>38</v>
      </c>
    </row>
    <row r="63">
      <c r="A63" s="5"/>
      <c r="B63" s="37" t="s">
        <v>44</v>
      </c>
      <c r="C63" s="37" t="str">
        <f>'6t'!C11</f>
        <v/>
      </c>
      <c r="D63" s="37">
        <f>'6s'!C11</f>
        <v>24</v>
      </c>
      <c r="E63" s="38">
        <f t="shared" ref="E63:E72" si="16">SUM(C63:D63)</f>
        <v>24</v>
      </c>
      <c r="F63" s="38" t="str">
        <f>IF(E63&gt;=80,"A+",
IF(E63&gt;=70,"A",
IF(E63&gt;=60,"A-",
IF(E63&gt;=50,"B",
IF(E63&gt;=40,"C",
IF(E63&gt;=33,"D","F"))))))
</f>
        <v>F</v>
      </c>
      <c r="G63" s="38">
        <f>IF(E63&gt;=80,5,
IF(E63&gt;=70,4,
IF(E63&gt;=60,3.5,
IF(E63&gt;=50,3,
IF(E63&gt;=40,2,
IF(E63&gt;=33,1,0))))))</f>
        <v>0</v>
      </c>
      <c r="H63" s="40">
        <f>AVERAGE(
VALUE(G63),
VALUE(G64),
VALUE(G65),
VALUE(G66),
VALUE(G67),
VALUE(G68),
VALUE(G69),
VALUE(G70),
VALUE(G71),
VALUE(G72))</f>
        <v>0.3</v>
      </c>
    </row>
    <row r="64">
      <c r="A64" s="5"/>
      <c r="B64" s="37" t="s">
        <v>45</v>
      </c>
      <c r="C64" s="37" t="str">
        <f>'6t'!D11</f>
        <v/>
      </c>
      <c r="D64" s="37">
        <f>'6s'!D11</f>
        <v>16</v>
      </c>
      <c r="E64" s="38">
        <f t="shared" si="16"/>
        <v>16</v>
      </c>
      <c r="F64" s="38" t="str">
        <f>IF(E64&gt;=40,"A+",
IF(E64&gt;=35,"A",
IF(E64&gt;=30,"A-",
IF(E64&gt;=25,"B",
IF(E64&gt;=20,"C",
IF(E64&gt;=16,"D","F"))))))
</f>
        <v>D</v>
      </c>
      <c r="G64" s="38">
        <f>IF(E64&gt;=40,5,
IF(E64&gt;=35,4,
IF(E64&gt;=30,3.5,
IF(E64&gt;=25,3,
IF(E64&gt;=20,2,
IF(E64&gt;=16,1,0))))))</f>
        <v>1</v>
      </c>
      <c r="H64" s="41"/>
    </row>
    <row r="65">
      <c r="A65" s="5"/>
      <c r="B65" s="37" t="s">
        <v>57</v>
      </c>
      <c r="C65" s="37">
        <f>'6t'!E11</f>
        <v>10</v>
      </c>
      <c r="D65" s="37" t="str">
        <f>'6s'!E11</f>
        <v/>
      </c>
      <c r="E65" s="38">
        <f t="shared" si="16"/>
        <v>10</v>
      </c>
      <c r="F65" s="38" t="str">
        <f>IF(E65&gt;=80,"A+",
IF(E65&gt;=70,"A",
IF(E65&gt;=60,"A-",
IF(E65&gt;=50,"B",
IF(E65&gt;=40,"C",
IF(E65&gt;=33,"D","F"))))))
</f>
        <v>F</v>
      </c>
      <c r="G65" s="38">
        <f>IF(E65&gt;=80,5,
IF(E65&gt;=70,4,
IF(E65&gt;=60,3.5,
IF(E65&gt;=50,3,
IF(E65&gt;=40,2,
IF(E65&gt;=33,1,0))))))</f>
        <v>0</v>
      </c>
      <c r="H65" s="41"/>
    </row>
    <row r="66">
      <c r="A66" s="5"/>
      <c r="B66" s="37" t="s">
        <v>58</v>
      </c>
      <c r="C66" s="37" t="str">
        <f>'6t'!F11</f>
        <v/>
      </c>
      <c r="D66" s="37" t="str">
        <f>'6s'!F11</f>
        <v/>
      </c>
      <c r="E66" s="38">
        <f t="shared" si="16"/>
        <v>0</v>
      </c>
      <c r="F66" s="38" t="str">
        <f>IF(E66&gt;=40,"A+",
IF(E66&gt;=35,"A",
IF(E66&gt;=30,"A-",
IF(E66&gt;=25,"B",
IF(E66&gt;=20,"C",
IF(E66&gt;=16,"D","F"))))))
</f>
        <v>F</v>
      </c>
      <c r="G66" s="38">
        <f>IF(E66&gt;=40,5,
IF(E66&gt;=35,4,
IF(E66&gt;=30,3.5,
IF(E66&gt;=25,3,
IF(E66&gt;=20,2,
IF(E66&gt;=16,1,0))))))</f>
        <v>0</v>
      </c>
      <c r="H66" s="41"/>
    </row>
    <row r="67">
      <c r="A67" s="5"/>
      <c r="B67" s="38" t="s">
        <v>40</v>
      </c>
      <c r="C67" s="37" t="str">
        <f>'6t'!G11</f>
        <v/>
      </c>
      <c r="D67" s="37" t="str">
        <f>'6s'!G11</f>
        <v/>
      </c>
      <c r="E67" s="38">
        <f t="shared" si="16"/>
        <v>0</v>
      </c>
      <c r="F67" s="38" t="str">
        <f t="shared" ref="F67:F71" si="17">IF(E67&gt;=80,"A+",
IF(E67&gt;=70,"A",
IF(E67&gt;=60,"A-",
IF(E67&gt;=50,"B",
IF(E67&gt;=40,"C",
IF(E67&gt;=33,"D","F"))))))
</f>
        <v>F</v>
      </c>
      <c r="G67" s="38">
        <f t="shared" ref="G67:G71" si="18">IF(E67&gt;=80,5,
IF(E67&gt;=70,4,
IF(E67&gt;=60,3.5,
IF(E67&gt;=50,3,
IF(E67&gt;=40,2,
IF(E67&gt;=33,1,0))))))</f>
        <v>0</v>
      </c>
      <c r="H67" s="41"/>
    </row>
    <row r="68">
      <c r="A68" s="5"/>
      <c r="B68" s="38" t="s">
        <v>41</v>
      </c>
      <c r="C68" s="38" t="str">
        <f>'6t'!H11</f>
        <v/>
      </c>
      <c r="D68" s="38" t="str">
        <f>'6s'!H11</f>
        <v/>
      </c>
      <c r="E68" s="38">
        <f t="shared" si="16"/>
        <v>0</v>
      </c>
      <c r="F68" s="38" t="str">
        <f t="shared" si="17"/>
        <v>F</v>
      </c>
      <c r="G68" s="38">
        <f t="shared" si="18"/>
        <v>0</v>
      </c>
      <c r="H68" s="41"/>
    </row>
    <row r="69">
      <c r="A69" s="5"/>
      <c r="B69" s="38" t="s">
        <v>10</v>
      </c>
      <c r="C69" s="38">
        <f>'6t'!I11</f>
        <v>10</v>
      </c>
      <c r="D69" s="38" t="str">
        <f>'6s'!I11</f>
        <v/>
      </c>
      <c r="E69" s="38">
        <f t="shared" si="16"/>
        <v>10</v>
      </c>
      <c r="F69" s="38" t="str">
        <f t="shared" si="17"/>
        <v>F</v>
      </c>
      <c r="G69" s="38">
        <f t="shared" si="18"/>
        <v>0</v>
      </c>
      <c r="H69" s="41"/>
    </row>
    <row r="70">
      <c r="A70" s="5"/>
      <c r="B70" s="37" t="s">
        <v>48</v>
      </c>
      <c r="C70" s="38" t="str">
        <f>'6t'!J11</f>
        <v/>
      </c>
      <c r="D70" s="38" t="str">
        <f>'6s'!J11</f>
        <v/>
      </c>
      <c r="E70" s="38">
        <f t="shared" si="16"/>
        <v>0</v>
      </c>
      <c r="F70" s="38" t="str">
        <f t="shared" si="17"/>
        <v>F</v>
      </c>
      <c r="G70" s="38">
        <f t="shared" si="18"/>
        <v>0</v>
      </c>
      <c r="H70" s="41"/>
    </row>
    <row r="71">
      <c r="A71" s="5"/>
      <c r="B71" s="38" t="s">
        <v>11</v>
      </c>
      <c r="C71" s="38">
        <f>'6t'!K11</f>
        <v>10</v>
      </c>
      <c r="D71" s="38">
        <f>'6s'!K11</f>
        <v>25</v>
      </c>
      <c r="E71" s="38">
        <f t="shared" si="16"/>
        <v>35</v>
      </c>
      <c r="F71" s="38" t="str">
        <f t="shared" si="17"/>
        <v>D</v>
      </c>
      <c r="G71" s="38">
        <f t="shared" si="18"/>
        <v>1</v>
      </c>
      <c r="H71" s="41"/>
    </row>
    <row r="72">
      <c r="A72" s="8"/>
      <c r="B72" s="37" t="s">
        <v>49</v>
      </c>
      <c r="C72" s="38">
        <f>'6t'!L11</f>
        <v>8</v>
      </c>
      <c r="D72" s="38">
        <f>'6s'!L11</f>
        <v>8</v>
      </c>
      <c r="E72" s="38">
        <f t="shared" si="16"/>
        <v>16</v>
      </c>
      <c r="F72" s="38" t="str">
        <f>IF(E72&gt;=40,"A+",
IF(E72&gt;=35,"A",
IF(E72&gt;=30,"A-",
IF(E72&gt;=25,"B",
IF(E72&gt;=20,"C",
IF(E72&gt;=16,"D","F"))))))
</f>
        <v>D</v>
      </c>
      <c r="G72" s="38">
        <f>IF(E72&gt;=40,5,
IF(E72&gt;=35,4,
IF(E72&gt;=30,3.5,
IF(E72&gt;=25,3,
IF(E72&gt;=20,2,
IF(E72&gt;=16,1,0))))))</f>
        <v>1</v>
      </c>
      <c r="H72" s="12"/>
    </row>
    <row r="73">
      <c r="A73" s="30" t="s">
        <v>3</v>
      </c>
      <c r="B73" s="31" t="s">
        <v>31</v>
      </c>
      <c r="C73" s="42" t="str">
        <f>'6s'!B12</f>
        <v>ETI PRIYA</v>
      </c>
      <c r="D73" s="23"/>
      <c r="E73" s="23"/>
      <c r="F73" s="23"/>
      <c r="G73" s="23"/>
      <c r="H73" s="24"/>
    </row>
    <row r="74">
      <c r="A74" s="47">
        <v>7.0</v>
      </c>
      <c r="B74" s="35" t="s">
        <v>32</v>
      </c>
      <c r="C74" s="36" t="str">
        <f>'6'!C62</f>
        <v>3rd Tutorial
Exam (30)</v>
      </c>
      <c r="D74" s="36" t="str">
        <f>'6'!D62</f>
        <v>3rd Semester
Exam (70)</v>
      </c>
      <c r="E74" s="35" t="s">
        <v>35</v>
      </c>
      <c r="F74" s="36" t="s">
        <v>36</v>
      </c>
      <c r="G74" s="36" t="s">
        <v>37</v>
      </c>
      <c r="H74" s="36" t="s">
        <v>38</v>
      </c>
    </row>
    <row r="75">
      <c r="A75" s="5"/>
      <c r="B75" s="37" t="s">
        <v>44</v>
      </c>
      <c r="C75" s="37" t="str">
        <f>'6t'!C12</f>
        <v/>
      </c>
      <c r="D75" s="37" t="str">
        <f>'6s'!C12</f>
        <v/>
      </c>
      <c r="E75" s="38">
        <f t="shared" ref="E75:E84" si="19">SUM(C75:D75)</f>
        <v>0</v>
      </c>
      <c r="F75" s="38" t="str">
        <f>IF(E75&gt;=80,"A+",
IF(E75&gt;=70,"A",
IF(E75&gt;=60,"A-",
IF(E75&gt;=50,"B",
IF(E75&gt;=40,"C",
IF(E75&gt;=33,"D","F"))))))
</f>
        <v>F</v>
      </c>
      <c r="G75" s="38">
        <f>IF(E75&gt;=80,5,
IF(E75&gt;=70,4,
IF(E75&gt;=60,3.5,
IF(E75&gt;=50,3,
IF(E75&gt;=40,2,
IF(E75&gt;=33,1,0))))))</f>
        <v>0</v>
      </c>
      <c r="H75" s="40">
        <f>AVERAGE(
VALUE(G75),
VALUE(G76),
VALUE(G77),
VALUE(G78),
VALUE(G79),
VALUE(G80),
VALUE(G81),
VALUE(G82),
VALUE(G83),
VALUE(G84))</f>
        <v>0.6</v>
      </c>
    </row>
    <row r="76">
      <c r="A76" s="5"/>
      <c r="B76" s="37" t="s">
        <v>45</v>
      </c>
      <c r="C76" s="37" t="str">
        <f>'6t'!D12</f>
        <v/>
      </c>
      <c r="D76" s="37">
        <f>'6s'!D12</f>
        <v>16</v>
      </c>
      <c r="E76" s="38">
        <f t="shared" si="19"/>
        <v>16</v>
      </c>
      <c r="F76" s="38" t="str">
        <f>IF(E76&gt;=40,"A+",
IF(E76&gt;=35,"A",
IF(E76&gt;=30,"A-",
IF(E76&gt;=25,"B",
IF(E76&gt;=20,"C",
IF(E76&gt;=16,"D","F"))))))
</f>
        <v>D</v>
      </c>
      <c r="G76" s="38">
        <f>IF(E76&gt;=40,5,
IF(E76&gt;=35,4,
IF(E76&gt;=30,3.5,
IF(E76&gt;=25,3,
IF(E76&gt;=20,2,
IF(E76&gt;=16,1,0))))))</f>
        <v>1</v>
      </c>
      <c r="H76" s="41"/>
    </row>
    <row r="77">
      <c r="A77" s="5"/>
      <c r="B77" s="37" t="s">
        <v>57</v>
      </c>
      <c r="C77" s="37">
        <f>'6t'!E12</f>
        <v>10</v>
      </c>
      <c r="D77" s="37">
        <f>'6s'!E12</f>
        <v>24</v>
      </c>
      <c r="E77" s="38">
        <f t="shared" si="19"/>
        <v>34</v>
      </c>
      <c r="F77" s="38" t="str">
        <f>IF(E77&gt;=80,"A+",
IF(E77&gt;=70,"A",
IF(E77&gt;=60,"A-",
IF(E77&gt;=50,"B",
IF(E77&gt;=40,"C",
IF(E77&gt;=33,"D","F"))))))
</f>
        <v>D</v>
      </c>
      <c r="G77" s="38">
        <f>IF(E77&gt;=80,5,
IF(E77&gt;=70,4,
IF(E77&gt;=60,3.5,
IF(E77&gt;=50,3,
IF(E77&gt;=40,2,
IF(E77&gt;=33,1,0))))))</f>
        <v>1</v>
      </c>
      <c r="H77" s="41"/>
    </row>
    <row r="78">
      <c r="A78" s="5"/>
      <c r="B78" s="37" t="s">
        <v>58</v>
      </c>
      <c r="C78" s="37" t="str">
        <f>'6t'!F12</f>
        <v/>
      </c>
      <c r="D78" s="37">
        <f>'6s'!F12</f>
        <v>20</v>
      </c>
      <c r="E78" s="38">
        <f t="shared" si="19"/>
        <v>20</v>
      </c>
      <c r="F78" s="38" t="str">
        <f>IF(E78&gt;=40,"A+",
IF(E78&gt;=35,"A",
IF(E78&gt;=30,"A-",
IF(E78&gt;=25,"B",
IF(E78&gt;=20,"C",
IF(E78&gt;=16,"D","F"))))))
</f>
        <v>C</v>
      </c>
      <c r="G78" s="38">
        <f>IF(E78&gt;=40,5,
IF(E78&gt;=35,4,
IF(E78&gt;=30,3.5,
IF(E78&gt;=25,3,
IF(E78&gt;=20,2,
IF(E78&gt;=16,1,0))))))</f>
        <v>2</v>
      </c>
      <c r="H78" s="41"/>
    </row>
    <row r="79">
      <c r="A79" s="5"/>
      <c r="B79" s="38" t="s">
        <v>40</v>
      </c>
      <c r="C79" s="37" t="str">
        <f>'6t'!G12</f>
        <v/>
      </c>
      <c r="D79" s="37">
        <f>'6s'!G12</f>
        <v>24</v>
      </c>
      <c r="E79" s="38">
        <f t="shared" si="19"/>
        <v>24</v>
      </c>
      <c r="F79" s="38" t="str">
        <f t="shared" ref="F79:F83" si="20">IF(E79&gt;=80,"A+",
IF(E79&gt;=70,"A",
IF(E79&gt;=60,"A-",
IF(E79&gt;=50,"B",
IF(E79&gt;=40,"C",
IF(E79&gt;=33,"D","F"))))))
</f>
        <v>F</v>
      </c>
      <c r="G79" s="38">
        <f t="shared" ref="G79:G83" si="21">IF(E79&gt;=80,5,
IF(E79&gt;=70,4,
IF(E79&gt;=60,3.5,
IF(E79&gt;=50,3,
IF(E79&gt;=40,2,
IF(E79&gt;=33,1,0))))))</f>
        <v>0</v>
      </c>
      <c r="H79" s="41"/>
    </row>
    <row r="80">
      <c r="A80" s="5"/>
      <c r="B80" s="38" t="s">
        <v>41</v>
      </c>
      <c r="C80" s="38" t="str">
        <f>'6t'!H12</f>
        <v/>
      </c>
      <c r="D80" s="38" t="str">
        <f>'6s'!H12</f>
        <v/>
      </c>
      <c r="E80" s="38">
        <f t="shared" si="19"/>
        <v>0</v>
      </c>
      <c r="F80" s="38" t="str">
        <f t="shared" si="20"/>
        <v>F</v>
      </c>
      <c r="G80" s="38">
        <f t="shared" si="21"/>
        <v>0</v>
      </c>
      <c r="H80" s="41"/>
    </row>
    <row r="81">
      <c r="A81" s="5"/>
      <c r="B81" s="38" t="s">
        <v>10</v>
      </c>
      <c r="C81" s="38">
        <f>'6t'!I12</f>
        <v>10</v>
      </c>
      <c r="D81" s="38">
        <f>'6s'!I12</f>
        <v>25</v>
      </c>
      <c r="E81" s="38">
        <f t="shared" si="19"/>
        <v>35</v>
      </c>
      <c r="F81" s="38" t="str">
        <f t="shared" si="20"/>
        <v>D</v>
      </c>
      <c r="G81" s="38">
        <f t="shared" si="21"/>
        <v>1</v>
      </c>
      <c r="H81" s="41"/>
    </row>
    <row r="82">
      <c r="A82" s="5"/>
      <c r="B82" s="37" t="s">
        <v>48</v>
      </c>
      <c r="C82" s="38" t="str">
        <f>'6t'!J12</f>
        <v/>
      </c>
      <c r="D82" s="38">
        <f>'6s'!J12</f>
        <v>24</v>
      </c>
      <c r="E82" s="38">
        <f t="shared" si="19"/>
        <v>24</v>
      </c>
      <c r="F82" s="38" t="str">
        <f t="shared" si="20"/>
        <v>F</v>
      </c>
      <c r="G82" s="38">
        <f t="shared" si="21"/>
        <v>0</v>
      </c>
      <c r="H82" s="41"/>
    </row>
    <row r="83">
      <c r="A83" s="5"/>
      <c r="B83" s="38" t="s">
        <v>11</v>
      </c>
      <c r="C83" s="38">
        <f>'6t'!K12</f>
        <v>10</v>
      </c>
      <c r="D83" s="38" t="str">
        <f>'6s'!K12</f>
        <v/>
      </c>
      <c r="E83" s="38">
        <f t="shared" si="19"/>
        <v>10</v>
      </c>
      <c r="F83" s="38" t="str">
        <f t="shared" si="20"/>
        <v>F</v>
      </c>
      <c r="G83" s="38">
        <f t="shared" si="21"/>
        <v>0</v>
      </c>
      <c r="H83" s="41"/>
    </row>
    <row r="84">
      <c r="A84" s="8"/>
      <c r="B84" s="37" t="s">
        <v>49</v>
      </c>
      <c r="C84" s="38">
        <f>'6t'!L12</f>
        <v>8</v>
      </c>
      <c r="D84" s="38">
        <f>'6s'!L12</f>
        <v>8</v>
      </c>
      <c r="E84" s="38">
        <f t="shared" si="19"/>
        <v>16</v>
      </c>
      <c r="F84" s="38" t="str">
        <f>IF(E84&gt;=40,"A+",
IF(E84&gt;=35,"A",
IF(E84&gt;=30,"A-",
IF(E84&gt;=25,"B",
IF(E84&gt;=20,"C",
IF(E84&gt;=16,"D","F"))))))
</f>
        <v>D</v>
      </c>
      <c r="G84" s="38">
        <f>IF(E84&gt;=40,5,
IF(E84&gt;=35,4,
IF(E84&gt;=30,3.5,
IF(E84&gt;=25,3,
IF(E84&gt;=20,2,
IF(E84&gt;=16,1,0))))))</f>
        <v>1</v>
      </c>
      <c r="H84" s="12"/>
    </row>
  </sheetData>
  <mergeCells count="21">
    <mergeCell ref="H15:H24"/>
    <mergeCell ref="H27:H36"/>
    <mergeCell ref="H39:H48"/>
    <mergeCell ref="H51:H60"/>
    <mergeCell ref="H63:H72"/>
    <mergeCell ref="H75:H84"/>
    <mergeCell ref="A26:A36"/>
    <mergeCell ref="A38:A48"/>
    <mergeCell ref="A50:A60"/>
    <mergeCell ref="A62:A72"/>
    <mergeCell ref="A74:A84"/>
    <mergeCell ref="C49:H49"/>
    <mergeCell ref="C61:H61"/>
    <mergeCell ref="C73:H73"/>
    <mergeCell ref="C1:H1"/>
    <mergeCell ref="A2:A12"/>
    <mergeCell ref="H3:H12"/>
    <mergeCell ref="C13:H13"/>
    <mergeCell ref="A14:A24"/>
    <mergeCell ref="C25:H25"/>
    <mergeCell ref="C37:H3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75"/>
    <col customWidth="1" min="2" max="2" width="22.63"/>
    <col customWidth="1" min="3" max="3" width="17.5"/>
    <col customWidth="1" min="4" max="4" width="17.0"/>
    <col customWidth="1" min="5" max="22" width="14.38"/>
  </cols>
  <sheetData>
    <row r="1" ht="26.25" customHeight="1">
      <c r="A1" s="43" t="s">
        <v>0</v>
      </c>
      <c r="B1" s="23"/>
      <c r="C1" s="23"/>
      <c r="D1" s="2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15.75" customHeight="1">
      <c r="A2" s="44" t="s">
        <v>42</v>
      </c>
      <c r="B2" s="23"/>
      <c r="C2" s="23"/>
      <c r="D2" s="24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ht="15.75" customHeight="1">
      <c r="A3" s="45" t="s">
        <v>59</v>
      </c>
      <c r="B3" s="23"/>
      <c r="C3" s="23"/>
      <c r="D3" s="24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ht="15.75" customHeight="1">
      <c r="A4" s="20" t="s">
        <v>3</v>
      </c>
      <c r="B4" s="21" t="s">
        <v>4</v>
      </c>
      <c r="C4" s="22" t="s">
        <v>13</v>
      </c>
      <c r="D4" s="2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ht="15.75" customHeight="1">
      <c r="A5" s="12"/>
      <c r="B5" s="12"/>
      <c r="C5" s="14" t="s">
        <v>38</v>
      </c>
      <c r="D5" s="14" t="s">
        <v>13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ht="15.75" customHeight="1">
      <c r="A6" s="15">
        <v>1.0</v>
      </c>
      <c r="B6" s="16" t="s">
        <v>50</v>
      </c>
      <c r="C6" s="46">
        <f>'6'!H3</f>
        <v>4.6</v>
      </c>
      <c r="D6" s="15">
        <f t="shared" ref="D6:D12" si="1">RANK(C6,$C$6:$C$12)</f>
        <v>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ht="15.75" customHeight="1">
      <c r="A7" s="15">
        <v>2.0</v>
      </c>
      <c r="B7" s="16" t="s">
        <v>51</v>
      </c>
      <c r="C7" s="46">
        <f>'6'!H15</f>
        <v>3.45</v>
      </c>
      <c r="D7" s="15">
        <f t="shared" si="1"/>
        <v>2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ht="15.75" customHeight="1">
      <c r="A8" s="15">
        <v>3.0</v>
      </c>
      <c r="B8" s="16" t="s">
        <v>52</v>
      </c>
      <c r="C8" s="46">
        <f>'6'!H27</f>
        <v>1.4</v>
      </c>
      <c r="D8" s="15">
        <f t="shared" si="1"/>
        <v>3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ht="15.75" customHeight="1">
      <c r="A9" s="15">
        <v>4.0</v>
      </c>
      <c r="B9" s="16" t="s">
        <v>53</v>
      </c>
      <c r="C9" s="46">
        <f>'6'!H39</f>
        <v>1.3</v>
      </c>
      <c r="D9" s="15">
        <f t="shared" si="1"/>
        <v>4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ht="15.75" customHeight="1">
      <c r="A10" s="15">
        <v>5.0</v>
      </c>
      <c r="B10" s="16" t="s">
        <v>54</v>
      </c>
      <c r="C10" s="46">
        <f>'6'!H51</f>
        <v>1.1</v>
      </c>
      <c r="D10" s="15">
        <f t="shared" si="1"/>
        <v>5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ht="15.75" customHeight="1">
      <c r="A11" s="15">
        <v>6.0</v>
      </c>
      <c r="B11" s="16" t="s">
        <v>55</v>
      </c>
      <c r="C11" s="46">
        <f>'6'!H63</f>
        <v>0.3</v>
      </c>
      <c r="D11" s="15">
        <f t="shared" si="1"/>
        <v>7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ht="15.75" customHeight="1">
      <c r="A12" s="15">
        <v>7.0</v>
      </c>
      <c r="B12" s="16" t="s">
        <v>56</v>
      </c>
      <c r="C12" s="46">
        <f>'6'!H75</f>
        <v>0.6</v>
      </c>
      <c r="D12" s="15">
        <f t="shared" si="1"/>
        <v>6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ht="15.75" customHeight="1">
      <c r="A13" s="19"/>
      <c r="B13" s="27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ht="15.75" customHeight="1">
      <c r="A14" s="19"/>
      <c r="B14" s="27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ht="15.75" customHeight="1">
      <c r="A15" s="19"/>
      <c r="B15" s="27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ht="15.75" customHeight="1">
      <c r="A16" s="19"/>
      <c r="B16" s="27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ht="15.75" customHeight="1">
      <c r="A17" s="19"/>
      <c r="B17" s="27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ht="15.75" customHeight="1">
      <c r="A18" s="19"/>
      <c r="B18" s="2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ht="15.75" customHeight="1">
      <c r="A19" s="19"/>
      <c r="B19" s="27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15.75" customHeight="1">
      <c r="A20" s="19"/>
      <c r="B20" s="27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15.75" customHeight="1">
      <c r="A21" s="19"/>
      <c r="B21" s="27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15.75" customHeight="1">
      <c r="A22" s="19"/>
      <c r="B22" s="27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15.75" customHeight="1">
      <c r="A23" s="19"/>
      <c r="B23" s="27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15.75" customHeight="1">
      <c r="A24" s="19"/>
      <c r="B24" s="27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15.75" customHeight="1">
      <c r="A25" s="19"/>
      <c r="B25" s="27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15.75" customHeight="1">
      <c r="A26" s="19"/>
      <c r="B26" s="27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15.75" customHeight="1">
      <c r="A27" s="19"/>
      <c r="B27" s="27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15.75" customHeight="1">
      <c r="A28" s="19"/>
      <c r="B28" s="27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15.75" customHeight="1">
      <c r="A29" s="19"/>
      <c r="B29" s="27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15.75" customHeight="1">
      <c r="A30" s="19"/>
      <c r="B30" s="27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15.75" customHeight="1">
      <c r="A31" s="19"/>
      <c r="B31" s="27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15.75" customHeight="1">
      <c r="A32" s="19"/>
      <c r="B32" s="27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15.75" customHeight="1">
      <c r="A33" s="19"/>
      <c r="B33" s="27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5.75" customHeight="1">
      <c r="A34" s="19"/>
      <c r="B34" s="27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15.75" customHeight="1">
      <c r="A35" s="19"/>
      <c r="B35" s="2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75" customHeight="1">
      <c r="A36" s="19"/>
      <c r="B36" s="2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75" customHeight="1">
      <c r="A37" s="19"/>
      <c r="B37" s="27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5.75" customHeight="1">
      <c r="A38" s="19"/>
      <c r="B38" s="27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5.75" customHeight="1">
      <c r="A39" s="19"/>
      <c r="B39" s="27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75" customHeight="1">
      <c r="A40" s="19"/>
      <c r="B40" s="27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15.75" customHeight="1">
      <c r="A41" s="19"/>
      <c r="B41" s="27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75" customHeight="1">
      <c r="A42" s="19"/>
      <c r="B42" s="27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5.75" customHeight="1">
      <c r="A43" s="19"/>
      <c r="B43" s="27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15.75" customHeight="1">
      <c r="A44" s="19"/>
      <c r="B44" s="27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15.75" customHeight="1">
      <c r="A45" s="19"/>
      <c r="B45" s="27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5.75" customHeight="1">
      <c r="A46" s="19"/>
      <c r="B46" s="27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5.75" customHeight="1">
      <c r="A47" s="19"/>
      <c r="B47" s="27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75" customHeight="1">
      <c r="A48" s="19"/>
      <c r="B48" s="27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5.75" customHeight="1">
      <c r="A49" s="19"/>
      <c r="B49" s="27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5.75" customHeight="1">
      <c r="A50" s="19"/>
      <c r="B50" s="27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75" customHeight="1">
      <c r="A51" s="19"/>
      <c r="B51" s="27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75" customHeight="1">
      <c r="A52" s="19"/>
      <c r="B52" s="27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15.75" customHeight="1">
      <c r="A53" s="19"/>
      <c r="B53" s="27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15.75" customHeight="1">
      <c r="A54" s="19"/>
      <c r="B54" s="27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15.75" customHeight="1">
      <c r="A55" s="19"/>
      <c r="B55" s="27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15.75" customHeight="1">
      <c r="A56" s="19"/>
      <c r="B56" s="27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15.75" customHeight="1">
      <c r="A57" s="19"/>
      <c r="B57" s="27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15.75" customHeight="1">
      <c r="A58" s="19"/>
      <c r="B58" s="27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15.75" customHeight="1">
      <c r="A59" s="19"/>
      <c r="B59" s="27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75" customHeight="1">
      <c r="A60" s="19"/>
      <c r="B60" s="27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75" customHeight="1">
      <c r="A61" s="19"/>
      <c r="B61" s="27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15.75" customHeight="1">
      <c r="A62" s="19"/>
      <c r="B62" s="27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5.75" customHeight="1">
      <c r="A63" s="19"/>
      <c r="B63" s="27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5.75" customHeight="1">
      <c r="A64" s="19"/>
      <c r="B64" s="27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15.75" customHeight="1">
      <c r="A65" s="19"/>
      <c r="B65" s="27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15.75" customHeight="1">
      <c r="A66" s="19"/>
      <c r="B66" s="27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5.75" customHeight="1">
      <c r="A67" s="19"/>
      <c r="B67" s="27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75" customHeight="1">
      <c r="A68" s="19"/>
      <c r="B68" s="27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75" customHeight="1">
      <c r="A69" s="19"/>
      <c r="B69" s="27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5.75" customHeight="1">
      <c r="A70" s="19"/>
      <c r="B70" s="27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5.75" customHeight="1">
      <c r="A71" s="19"/>
      <c r="B71" s="27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5.75" customHeight="1">
      <c r="A72" s="19"/>
      <c r="B72" s="27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5.75" customHeight="1">
      <c r="A73" s="19"/>
      <c r="B73" s="27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5.75" customHeight="1">
      <c r="A74" s="19"/>
      <c r="B74" s="27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5.75" customHeight="1">
      <c r="A75" s="19"/>
      <c r="B75" s="27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5.75" customHeight="1">
      <c r="A76" s="19"/>
      <c r="B76" s="27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5.75" customHeight="1">
      <c r="A77" s="19"/>
      <c r="B77" s="27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75" customHeight="1">
      <c r="A78" s="19"/>
      <c r="B78" s="27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5.75" customHeight="1">
      <c r="A79" s="19"/>
      <c r="B79" s="27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5.75" customHeight="1">
      <c r="A80" s="19"/>
      <c r="B80" s="27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5.75" customHeight="1">
      <c r="A81" s="19"/>
      <c r="B81" s="27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15.75" customHeight="1">
      <c r="A82" s="19"/>
      <c r="B82" s="27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15.75" customHeight="1">
      <c r="A83" s="19"/>
      <c r="B83" s="27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15.75" customHeight="1">
      <c r="A84" s="19"/>
      <c r="B84" s="27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15.75" customHeight="1">
      <c r="A85" s="19"/>
      <c r="B85" s="27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5.75" customHeight="1">
      <c r="A86" s="19"/>
      <c r="B86" s="27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15.75" customHeight="1">
      <c r="A87" s="19"/>
      <c r="B87" s="27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15.75" customHeight="1">
      <c r="A88" s="19"/>
      <c r="B88" s="27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15.75" customHeight="1">
      <c r="A89" s="19"/>
      <c r="B89" s="27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15.75" customHeight="1">
      <c r="A90" s="19"/>
      <c r="B90" s="27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5.75" customHeight="1">
      <c r="A91" s="19"/>
      <c r="B91" s="27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15.75" customHeight="1">
      <c r="A92" s="19"/>
      <c r="B92" s="27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15.75" customHeight="1">
      <c r="A93" s="19"/>
      <c r="B93" s="27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75" customHeight="1">
      <c r="A94" s="19"/>
      <c r="B94" s="27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75" customHeight="1">
      <c r="A95" s="19"/>
      <c r="B95" s="27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5.75" customHeight="1">
      <c r="A96" s="19"/>
      <c r="B96" s="27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5.75" customHeight="1">
      <c r="A97" s="19"/>
      <c r="B97" s="27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5.75" customHeight="1">
      <c r="A98" s="19"/>
      <c r="B98" s="27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5.75" customHeight="1">
      <c r="A99" s="19"/>
      <c r="B99" s="27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5.75" customHeight="1">
      <c r="A100" s="19"/>
      <c r="B100" s="27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75" customHeight="1">
      <c r="A101" s="19"/>
      <c r="B101" s="27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5.75" customHeight="1">
      <c r="A102" s="19"/>
      <c r="B102" s="27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15.75" customHeight="1">
      <c r="A103" s="19"/>
      <c r="B103" s="27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5.75" customHeight="1">
      <c r="A104" s="19"/>
      <c r="B104" s="27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15.75" customHeight="1">
      <c r="A105" s="19"/>
      <c r="B105" s="27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15.75" customHeight="1">
      <c r="A106" s="19"/>
      <c r="B106" s="27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15.75" customHeight="1">
      <c r="A107" s="19"/>
      <c r="B107" s="27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15.75" customHeight="1">
      <c r="A108" s="19"/>
      <c r="B108" s="27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15.75" customHeight="1">
      <c r="A109" s="19"/>
      <c r="B109" s="27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15.75" customHeight="1">
      <c r="A110" s="19"/>
      <c r="B110" s="27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15.75" customHeight="1">
      <c r="A111" s="19"/>
      <c r="B111" s="27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15.75" customHeight="1">
      <c r="A112" s="19"/>
      <c r="B112" s="27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75" customHeight="1">
      <c r="A113" s="19"/>
      <c r="B113" s="27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15.75" customHeight="1">
      <c r="A114" s="19"/>
      <c r="B114" s="27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15.75" customHeight="1">
      <c r="A115" s="19"/>
      <c r="B115" s="27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15.75" customHeight="1">
      <c r="A116" s="19"/>
      <c r="B116" s="27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15.75" customHeight="1">
      <c r="A117" s="19"/>
      <c r="B117" s="27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5.75" customHeight="1">
      <c r="A118" s="19"/>
      <c r="B118" s="27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15.75" customHeight="1">
      <c r="A119" s="19"/>
      <c r="B119" s="27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5.75" customHeight="1">
      <c r="A120" s="19"/>
      <c r="B120" s="27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5.75" customHeight="1">
      <c r="A121" s="19"/>
      <c r="B121" s="27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15.75" customHeight="1">
      <c r="A122" s="19"/>
      <c r="B122" s="27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15.75" customHeight="1">
      <c r="A123" s="19"/>
      <c r="B123" s="27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15.75" customHeight="1">
      <c r="A124" s="19"/>
      <c r="B124" s="27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15.75" customHeight="1">
      <c r="A125" s="19"/>
      <c r="B125" s="27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5.75" customHeight="1">
      <c r="A126" s="19"/>
      <c r="B126" s="27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5.75" customHeight="1">
      <c r="A127" s="19"/>
      <c r="B127" s="27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15.75" customHeight="1">
      <c r="A128" s="19"/>
      <c r="B128" s="27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5.75" customHeight="1">
      <c r="A129" s="19"/>
      <c r="B129" s="27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5.75" customHeight="1">
      <c r="A130" s="19"/>
      <c r="B130" s="27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15.75" customHeight="1">
      <c r="A131" s="19"/>
      <c r="B131" s="27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15.75" customHeight="1">
      <c r="A132" s="19"/>
      <c r="B132" s="27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15.75" customHeight="1">
      <c r="A133" s="19"/>
      <c r="B133" s="27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5.75" customHeight="1">
      <c r="A134" s="19"/>
      <c r="B134" s="27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15.75" customHeight="1">
      <c r="A135" s="19"/>
      <c r="B135" s="27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15.75" customHeight="1">
      <c r="A136" s="19"/>
      <c r="B136" s="27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15.75" customHeight="1">
      <c r="A137" s="19"/>
      <c r="B137" s="27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5.75" customHeight="1">
      <c r="A138" s="19"/>
      <c r="B138" s="27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15.75" customHeight="1">
      <c r="A139" s="19"/>
      <c r="B139" s="27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15.75" customHeight="1">
      <c r="A140" s="19"/>
      <c r="B140" s="27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15.75" customHeight="1">
      <c r="A141" s="19"/>
      <c r="B141" s="27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15.75" customHeight="1">
      <c r="A142" s="19"/>
      <c r="B142" s="27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15.75" customHeight="1">
      <c r="A143" s="19"/>
      <c r="B143" s="27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5.75" customHeight="1">
      <c r="A144" s="19"/>
      <c r="B144" s="27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15.75" customHeight="1">
      <c r="A145" s="19"/>
      <c r="B145" s="27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15.75" customHeight="1">
      <c r="A146" s="19"/>
      <c r="B146" s="27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15.75" customHeight="1">
      <c r="A147" s="19"/>
      <c r="B147" s="27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15.75" customHeight="1">
      <c r="A148" s="19"/>
      <c r="B148" s="27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15.75" customHeight="1">
      <c r="A149" s="19"/>
      <c r="B149" s="27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15.75" customHeight="1">
      <c r="A150" s="19"/>
      <c r="B150" s="27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15.75" customHeight="1">
      <c r="A151" s="19"/>
      <c r="B151" s="27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15.75" customHeight="1">
      <c r="A152" s="19"/>
      <c r="B152" s="27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15.75" customHeight="1">
      <c r="A153" s="19"/>
      <c r="B153" s="27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15.75" customHeight="1">
      <c r="A154" s="19"/>
      <c r="B154" s="27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15.75" customHeight="1">
      <c r="A155" s="19"/>
      <c r="B155" s="27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15.75" customHeight="1">
      <c r="A156" s="19"/>
      <c r="B156" s="27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15.75" customHeight="1">
      <c r="A157" s="19"/>
      <c r="B157" s="27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15.75" customHeight="1">
      <c r="A158" s="19"/>
      <c r="B158" s="27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15.75" customHeight="1">
      <c r="A159" s="19"/>
      <c r="B159" s="27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15.75" customHeight="1">
      <c r="A160" s="19"/>
      <c r="B160" s="27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15.75" customHeight="1">
      <c r="A161" s="19"/>
      <c r="B161" s="27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15.75" customHeight="1">
      <c r="A162" s="19"/>
      <c r="B162" s="27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15.75" customHeight="1">
      <c r="A163" s="19"/>
      <c r="B163" s="27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15.75" customHeight="1">
      <c r="A164" s="19"/>
      <c r="B164" s="27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15.75" customHeight="1">
      <c r="A165" s="19"/>
      <c r="B165" s="27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15.75" customHeight="1">
      <c r="A166" s="19"/>
      <c r="B166" s="27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15.75" customHeight="1">
      <c r="A167" s="19"/>
      <c r="B167" s="27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15.75" customHeight="1">
      <c r="A168" s="19"/>
      <c r="B168" s="27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15.75" customHeight="1">
      <c r="A169" s="19"/>
      <c r="B169" s="27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15.75" customHeight="1">
      <c r="A170" s="19"/>
      <c r="B170" s="27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15.75" customHeight="1">
      <c r="A171" s="19"/>
      <c r="B171" s="27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15.75" customHeight="1">
      <c r="A172" s="19"/>
      <c r="B172" s="27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15.75" customHeight="1">
      <c r="A173" s="19"/>
      <c r="B173" s="27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15.75" customHeight="1">
      <c r="A174" s="19"/>
      <c r="B174" s="27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15.75" customHeight="1">
      <c r="A175" s="19"/>
      <c r="B175" s="27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15.75" customHeight="1">
      <c r="A176" s="19"/>
      <c r="B176" s="27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15.75" customHeight="1">
      <c r="A177" s="19"/>
      <c r="B177" s="27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15.75" customHeight="1">
      <c r="A178" s="19"/>
      <c r="B178" s="27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15.75" customHeight="1">
      <c r="A179" s="19"/>
      <c r="B179" s="27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15.75" customHeight="1">
      <c r="A180" s="19"/>
      <c r="B180" s="27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15.75" customHeight="1">
      <c r="A181" s="19"/>
      <c r="B181" s="27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15.75" customHeight="1">
      <c r="A182" s="19"/>
      <c r="B182" s="27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15.75" customHeight="1">
      <c r="A183" s="19"/>
      <c r="B183" s="27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15.75" customHeight="1">
      <c r="A184" s="19"/>
      <c r="B184" s="27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15.75" customHeight="1">
      <c r="A185" s="19"/>
      <c r="B185" s="27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15.75" customHeight="1">
      <c r="A186" s="19"/>
      <c r="B186" s="27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15.75" customHeight="1">
      <c r="A187" s="19"/>
      <c r="B187" s="27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15.75" customHeight="1">
      <c r="A188" s="19"/>
      <c r="B188" s="27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15.75" customHeight="1">
      <c r="A189" s="19"/>
      <c r="B189" s="27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15.75" customHeight="1">
      <c r="A190" s="19"/>
      <c r="B190" s="27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15.75" customHeight="1">
      <c r="A191" s="19"/>
      <c r="B191" s="27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15.75" customHeight="1">
      <c r="A192" s="19"/>
      <c r="B192" s="27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15.75" customHeight="1">
      <c r="A193" s="19"/>
      <c r="B193" s="27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15.75" customHeight="1">
      <c r="A194" s="19"/>
      <c r="B194" s="27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15.75" customHeight="1">
      <c r="A195" s="19"/>
      <c r="B195" s="27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15.75" customHeight="1">
      <c r="A196" s="19"/>
      <c r="B196" s="27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15.75" customHeight="1">
      <c r="A197" s="19"/>
      <c r="B197" s="27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15.75" customHeight="1">
      <c r="A198" s="19"/>
      <c r="B198" s="27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15.75" customHeight="1">
      <c r="A199" s="19"/>
      <c r="B199" s="27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15.75" customHeight="1">
      <c r="A200" s="19"/>
      <c r="B200" s="27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15.75" customHeight="1">
      <c r="A201" s="19"/>
      <c r="B201" s="27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15.75" customHeight="1">
      <c r="A202" s="19"/>
      <c r="B202" s="27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15.75" customHeight="1">
      <c r="A203" s="19"/>
      <c r="B203" s="27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15.75" customHeight="1">
      <c r="A204" s="19"/>
      <c r="B204" s="27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15.75" customHeight="1">
      <c r="A205" s="19"/>
      <c r="B205" s="27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15.75" customHeight="1">
      <c r="A206" s="19"/>
      <c r="B206" s="27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15.75" customHeight="1">
      <c r="A207" s="19"/>
      <c r="B207" s="27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15.75" customHeight="1">
      <c r="A208" s="19"/>
      <c r="B208" s="27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15.75" customHeight="1">
      <c r="A209" s="19"/>
      <c r="B209" s="27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15.75" customHeight="1">
      <c r="A210" s="28"/>
      <c r="B210" s="2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ht="15.75" customHeight="1">
      <c r="A211" s="28"/>
      <c r="B211" s="2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ht="15.75" customHeight="1">
      <c r="A212" s="28"/>
      <c r="B212" s="2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ht="15.75" customHeight="1">
      <c r="A213" s="28"/>
      <c r="B213" s="2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ht="15.75" customHeight="1">
      <c r="A214" s="28"/>
      <c r="B214" s="2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ht="15.75" customHeight="1">
      <c r="A215" s="28"/>
      <c r="B215" s="2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ht="15.75" customHeight="1">
      <c r="A216" s="28"/>
      <c r="B216" s="2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ht="15.75" customHeight="1">
      <c r="A217" s="28"/>
      <c r="B217" s="2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ht="15.75" customHeight="1">
      <c r="A218" s="28"/>
      <c r="B218" s="2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ht="15.75" customHeight="1">
      <c r="A219" s="28"/>
      <c r="B219" s="2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ht="15.75" customHeight="1">
      <c r="A220" s="28"/>
      <c r="B220" s="2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 ht="15.75" customHeight="1">
      <c r="A221" s="28"/>
      <c r="B221" s="2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 ht="15.75" customHeight="1">
      <c r="A222" s="28"/>
      <c r="B222" s="2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ht="15.75" customHeight="1">
      <c r="A223" s="28"/>
      <c r="B223" s="2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 ht="15.75" customHeight="1">
      <c r="A224" s="28"/>
      <c r="B224" s="2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 ht="15.75" customHeight="1">
      <c r="A225" s="28"/>
      <c r="B225" s="2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 ht="15.75" customHeight="1">
      <c r="A226" s="28"/>
      <c r="B226" s="2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 ht="15.75" customHeight="1">
      <c r="A227" s="28"/>
      <c r="B227" s="2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 ht="15.75" customHeight="1">
      <c r="A228" s="28"/>
      <c r="B228" s="2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 ht="15.75" customHeight="1">
      <c r="A229" s="28"/>
      <c r="B229" s="2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 ht="15.75" customHeight="1">
      <c r="A230" s="28"/>
      <c r="B230" s="2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 ht="15.75" customHeight="1">
      <c r="A231" s="28"/>
      <c r="B231" s="2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 ht="15.75" customHeight="1">
      <c r="A232" s="28"/>
      <c r="B232" s="2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 ht="15.75" customHeight="1">
      <c r="A233" s="28"/>
      <c r="B233" s="2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 ht="15.75" customHeight="1">
      <c r="A234" s="28"/>
      <c r="B234" s="2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 ht="15.75" customHeight="1">
      <c r="A235" s="28"/>
      <c r="B235" s="2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 ht="15.75" customHeight="1">
      <c r="A236" s="28"/>
      <c r="B236" s="2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 ht="15.75" customHeight="1">
      <c r="A237" s="28"/>
      <c r="B237" s="2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 ht="15.75" customHeight="1">
      <c r="A238" s="28"/>
      <c r="B238" s="2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 ht="15.75" customHeight="1">
      <c r="A239" s="28"/>
      <c r="B239" s="2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 ht="15.75" customHeight="1">
      <c r="A240" s="28"/>
      <c r="B240" s="2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 ht="15.75" customHeight="1">
      <c r="A241" s="28"/>
      <c r="B241" s="2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 ht="15.75" customHeight="1">
      <c r="A242" s="28"/>
      <c r="B242" s="2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 ht="15.75" customHeight="1">
      <c r="A243" s="28"/>
      <c r="B243" s="2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 ht="15.75" customHeight="1">
      <c r="A244" s="28"/>
      <c r="B244" s="2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 ht="15.75" customHeight="1">
      <c r="A245" s="28"/>
      <c r="B245" s="2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 ht="15.75" customHeight="1">
      <c r="A246" s="28"/>
      <c r="B246" s="2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 ht="15.75" customHeight="1">
      <c r="A247" s="28"/>
      <c r="B247" s="2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 ht="15.75" customHeight="1">
      <c r="A248" s="28"/>
      <c r="B248" s="2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 ht="15.75" customHeight="1">
      <c r="A249" s="28"/>
      <c r="B249" s="2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 ht="15.75" customHeight="1">
      <c r="A250" s="28"/>
      <c r="B250" s="2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 ht="15.75" customHeight="1">
      <c r="A251" s="28"/>
      <c r="B251" s="2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 ht="15.75" customHeight="1">
      <c r="A252" s="28"/>
      <c r="B252" s="2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 ht="15.75" customHeight="1">
      <c r="A253" s="28"/>
      <c r="B253" s="2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 ht="15.75" customHeight="1">
      <c r="A254" s="28"/>
      <c r="B254" s="2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 ht="15.75" customHeight="1">
      <c r="A255" s="28"/>
      <c r="B255" s="2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 ht="15.75" customHeight="1">
      <c r="A256" s="28"/>
      <c r="B256" s="2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 ht="15.75" customHeight="1">
      <c r="A257" s="28"/>
      <c r="B257" s="2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 ht="15.75" customHeight="1">
      <c r="A258" s="28"/>
      <c r="B258" s="2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 ht="15.75" customHeight="1">
      <c r="A259" s="28"/>
      <c r="B259" s="2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 ht="15.75" customHeight="1">
      <c r="A260" s="28"/>
      <c r="B260" s="2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 ht="15.75" customHeight="1">
      <c r="A261" s="28"/>
      <c r="B261" s="2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 ht="15.75" customHeight="1">
      <c r="A262" s="28"/>
      <c r="B262" s="2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 ht="15.75" customHeight="1">
      <c r="A263" s="28"/>
      <c r="B263" s="2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 ht="15.75" customHeight="1">
      <c r="A264" s="28"/>
      <c r="B264" s="2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 ht="15.75" customHeight="1">
      <c r="A265" s="28"/>
      <c r="B265" s="2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 ht="15.75" customHeight="1">
      <c r="A266" s="28"/>
      <c r="B266" s="2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 ht="15.75" customHeight="1">
      <c r="A267" s="28"/>
      <c r="B267" s="2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 ht="15.75" customHeight="1">
      <c r="A268" s="28"/>
      <c r="B268" s="2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 ht="15.75" customHeight="1">
      <c r="A269" s="28"/>
      <c r="B269" s="2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 ht="15.75" customHeight="1">
      <c r="A270" s="28"/>
      <c r="B270" s="2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 ht="15.75" customHeight="1">
      <c r="A271" s="28"/>
      <c r="B271" s="2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 ht="15.75" customHeight="1">
      <c r="A272" s="28"/>
      <c r="B272" s="2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 ht="15.75" customHeight="1">
      <c r="A273" s="28"/>
      <c r="B273" s="2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 ht="15.75" customHeight="1">
      <c r="A274" s="28"/>
      <c r="B274" s="2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 ht="15.75" customHeight="1">
      <c r="A275" s="28"/>
      <c r="B275" s="2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 ht="15.75" customHeight="1">
      <c r="A276" s="28"/>
      <c r="B276" s="2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 ht="15.75" customHeight="1">
      <c r="A277" s="28"/>
      <c r="B277" s="2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 ht="15.75" customHeight="1">
      <c r="A278" s="28"/>
      <c r="B278" s="2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 ht="15.75" customHeight="1">
      <c r="A279" s="28"/>
      <c r="B279" s="2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 ht="15.75" customHeight="1">
      <c r="A280" s="28"/>
      <c r="B280" s="2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 ht="15.75" customHeight="1">
      <c r="A281" s="28"/>
      <c r="B281" s="2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 ht="15.75" customHeight="1">
      <c r="A282" s="28"/>
      <c r="B282" s="2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 ht="15.75" customHeight="1">
      <c r="A283" s="28"/>
      <c r="B283" s="2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 ht="15.75" customHeight="1">
      <c r="A284" s="28"/>
      <c r="B284" s="2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 ht="15.75" customHeight="1">
      <c r="A285" s="28"/>
      <c r="B285" s="2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 ht="15.75" customHeight="1">
      <c r="A286" s="28"/>
      <c r="B286" s="2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 ht="15.75" customHeight="1">
      <c r="A287" s="28"/>
      <c r="B287" s="2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 ht="15.75" customHeight="1">
      <c r="A288" s="28"/>
      <c r="B288" s="2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 ht="15.75" customHeight="1">
      <c r="A289" s="28"/>
      <c r="B289" s="2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 ht="15.75" customHeight="1">
      <c r="A290" s="28"/>
      <c r="B290" s="2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 ht="15.75" customHeight="1">
      <c r="A291" s="28"/>
      <c r="B291" s="2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 ht="15.75" customHeight="1">
      <c r="A292" s="28"/>
      <c r="B292" s="2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 ht="15.75" customHeight="1">
      <c r="A293" s="28"/>
      <c r="B293" s="2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 ht="15.75" customHeight="1">
      <c r="A294" s="28"/>
      <c r="B294" s="2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 ht="15.75" customHeight="1">
      <c r="A295" s="28"/>
      <c r="B295" s="2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 ht="15.75" customHeight="1">
      <c r="A296" s="28"/>
      <c r="B296" s="2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 ht="15.75" customHeight="1">
      <c r="A297" s="28"/>
      <c r="B297" s="2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 ht="15.75" customHeight="1">
      <c r="A298" s="28"/>
      <c r="B298" s="2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 ht="15.75" customHeight="1">
      <c r="A299" s="28"/>
      <c r="B299" s="2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 ht="15.75" customHeight="1">
      <c r="A300" s="28"/>
      <c r="B300" s="2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 ht="15.75" customHeight="1">
      <c r="A301" s="28"/>
      <c r="B301" s="2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 ht="15.75" customHeight="1">
      <c r="A302" s="28"/>
      <c r="B302" s="2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 ht="15.75" customHeight="1">
      <c r="A303" s="28"/>
      <c r="B303" s="2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 ht="15.75" customHeight="1">
      <c r="A304" s="28"/>
      <c r="B304" s="2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 ht="15.75" customHeight="1">
      <c r="A305" s="28"/>
      <c r="B305" s="2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 ht="15.75" customHeight="1">
      <c r="A306" s="28"/>
      <c r="B306" s="2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 ht="15.75" customHeight="1">
      <c r="A307" s="28"/>
      <c r="B307" s="2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 ht="15.75" customHeight="1">
      <c r="A308" s="28"/>
      <c r="B308" s="2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 ht="15.75" customHeight="1">
      <c r="A309" s="28"/>
      <c r="B309" s="2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 ht="15.75" customHeight="1">
      <c r="A310" s="28"/>
      <c r="B310" s="2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 ht="15.75" customHeight="1">
      <c r="A311" s="28"/>
      <c r="B311" s="29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 ht="15.75" customHeight="1">
      <c r="A312" s="28"/>
      <c r="B312" s="29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 ht="15.75" customHeight="1">
      <c r="A313" s="28"/>
      <c r="B313" s="29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 ht="15.75" customHeight="1">
      <c r="A314" s="28"/>
      <c r="B314" s="29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 ht="15.75" customHeight="1">
      <c r="A315" s="28"/>
      <c r="B315" s="29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 ht="15.75" customHeight="1">
      <c r="A316" s="28"/>
      <c r="B316" s="29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 ht="15.75" customHeight="1">
      <c r="A317" s="28"/>
      <c r="B317" s="29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 ht="15.75" customHeight="1">
      <c r="A318" s="28"/>
      <c r="B318" s="29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 ht="15.75" customHeight="1">
      <c r="A319" s="28"/>
      <c r="B319" s="29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 ht="15.75" customHeight="1">
      <c r="A320" s="28"/>
      <c r="B320" s="29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 ht="15.75" customHeight="1">
      <c r="A321" s="28"/>
      <c r="B321" s="29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 ht="15.75" customHeight="1">
      <c r="A322" s="28"/>
      <c r="B322" s="29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 ht="15.75" customHeight="1">
      <c r="A323" s="28"/>
      <c r="B323" s="29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 ht="15.75" customHeight="1">
      <c r="A324" s="28"/>
      <c r="B324" s="29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 ht="15.75" customHeight="1">
      <c r="A325" s="28"/>
      <c r="B325" s="29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 ht="15.75" customHeight="1">
      <c r="A326" s="28"/>
      <c r="B326" s="29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 ht="15.75" customHeight="1">
      <c r="A327" s="28"/>
      <c r="B327" s="29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 ht="15.75" customHeight="1">
      <c r="A328" s="28"/>
      <c r="B328" s="29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 ht="15.75" customHeight="1">
      <c r="A329" s="28"/>
      <c r="B329" s="29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 ht="15.75" customHeight="1">
      <c r="A330" s="28"/>
      <c r="B330" s="29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 ht="15.75" customHeight="1">
      <c r="A331" s="28"/>
      <c r="B331" s="29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 ht="15.75" customHeight="1">
      <c r="A332" s="28"/>
      <c r="B332" s="29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 ht="15.75" customHeight="1">
      <c r="A333" s="28"/>
      <c r="B333" s="29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ht="15.75" customHeight="1">
      <c r="A334" s="28"/>
      <c r="B334" s="29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 ht="15.75" customHeight="1">
      <c r="A335" s="28"/>
      <c r="B335" s="29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 ht="15.75" customHeight="1">
      <c r="A336" s="28"/>
      <c r="B336" s="29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 ht="15.75" customHeight="1">
      <c r="A337" s="28"/>
      <c r="B337" s="29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 ht="15.75" customHeight="1">
      <c r="A338" s="28"/>
      <c r="B338" s="29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 ht="15.75" customHeight="1">
      <c r="A339" s="28"/>
      <c r="B339" s="29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 ht="15.75" customHeight="1">
      <c r="A340" s="28"/>
      <c r="B340" s="29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 ht="15.75" customHeight="1">
      <c r="A341" s="28"/>
      <c r="B341" s="29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 ht="15.75" customHeight="1">
      <c r="A342" s="28"/>
      <c r="B342" s="29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ht="15.75" customHeight="1">
      <c r="A343" s="28"/>
      <c r="B343" s="29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 ht="15.75" customHeight="1">
      <c r="A344" s="28"/>
      <c r="B344" s="29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 ht="15.75" customHeight="1">
      <c r="A345" s="28"/>
      <c r="B345" s="29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 ht="15.75" customHeight="1">
      <c r="A346" s="28"/>
      <c r="B346" s="29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 ht="15.75" customHeight="1">
      <c r="A347" s="28"/>
      <c r="B347" s="29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 ht="15.75" customHeight="1">
      <c r="A348" s="28"/>
      <c r="B348" s="29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 ht="15.75" customHeight="1">
      <c r="A349" s="28"/>
      <c r="B349" s="29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 ht="15.75" customHeight="1">
      <c r="A350" s="28"/>
      <c r="B350" s="29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 ht="15.75" customHeight="1">
      <c r="A351" s="28"/>
      <c r="B351" s="29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ht="15.75" customHeight="1">
      <c r="A352" s="28"/>
      <c r="B352" s="29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 ht="15.75" customHeight="1">
      <c r="A353" s="28"/>
      <c r="B353" s="29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 ht="15.75" customHeight="1">
      <c r="A354" s="28"/>
      <c r="B354" s="29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 ht="15.75" customHeight="1">
      <c r="A355" s="28"/>
      <c r="B355" s="29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 ht="15.75" customHeight="1">
      <c r="A356" s="28"/>
      <c r="B356" s="29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 ht="15.75" customHeight="1">
      <c r="A357" s="28"/>
      <c r="B357" s="29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 ht="15.75" customHeight="1">
      <c r="A358" s="28"/>
      <c r="B358" s="29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 ht="15.75" customHeight="1">
      <c r="A359" s="28"/>
      <c r="B359" s="29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 ht="15.75" customHeight="1">
      <c r="A360" s="28"/>
      <c r="B360" s="29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 ht="15.75" customHeight="1">
      <c r="A361" s="28"/>
      <c r="B361" s="29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 ht="15.75" customHeight="1">
      <c r="A362" s="28"/>
      <c r="B362" s="29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 ht="15.75" customHeight="1">
      <c r="A363" s="28"/>
      <c r="B363" s="29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ht="15.75" customHeight="1">
      <c r="A364" s="28"/>
      <c r="B364" s="29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 ht="15.75" customHeight="1">
      <c r="A365" s="28"/>
      <c r="B365" s="29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 ht="15.75" customHeight="1">
      <c r="A366" s="28"/>
      <c r="B366" s="29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 ht="15.75" customHeight="1">
      <c r="A367" s="28"/>
      <c r="B367" s="29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 ht="15.75" customHeight="1">
      <c r="A368" s="28"/>
      <c r="B368" s="29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 ht="15.75" customHeight="1">
      <c r="A369" s="28"/>
      <c r="B369" s="29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 ht="15.75" customHeight="1">
      <c r="A370" s="28"/>
      <c r="B370" s="29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 ht="15.75" customHeight="1">
      <c r="A371" s="28"/>
      <c r="B371" s="29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 ht="15.75" customHeight="1">
      <c r="A372" s="28"/>
      <c r="B372" s="29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ht="15.75" customHeight="1">
      <c r="A373" s="28"/>
      <c r="B373" s="29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 ht="15.75" customHeight="1">
      <c r="A374" s="28"/>
      <c r="B374" s="29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 ht="15.75" customHeight="1">
      <c r="A375" s="28"/>
      <c r="B375" s="29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 ht="15.75" customHeight="1">
      <c r="A376" s="28"/>
      <c r="B376" s="29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 ht="15.75" customHeight="1">
      <c r="A377" s="28"/>
      <c r="B377" s="29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 ht="15.75" customHeight="1">
      <c r="A378" s="28"/>
      <c r="B378" s="29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 ht="15.75" customHeight="1">
      <c r="A379" s="28"/>
      <c r="B379" s="29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 ht="15.75" customHeight="1">
      <c r="A380" s="28"/>
      <c r="B380" s="29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 ht="15.75" customHeight="1">
      <c r="A381" s="28"/>
      <c r="B381" s="29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 ht="15.75" customHeight="1">
      <c r="A382" s="28"/>
      <c r="B382" s="29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 ht="15.75" customHeight="1">
      <c r="A383" s="28"/>
      <c r="B383" s="29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ht="15.75" customHeight="1">
      <c r="A384" s="28"/>
      <c r="B384" s="29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 ht="15.75" customHeight="1">
      <c r="A385" s="28"/>
      <c r="B385" s="29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 ht="15.75" customHeight="1">
      <c r="A386" s="28"/>
      <c r="B386" s="29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 ht="15.75" customHeight="1">
      <c r="A387" s="28"/>
      <c r="B387" s="29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 ht="15.75" customHeight="1">
      <c r="A388" s="28"/>
      <c r="B388" s="29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 ht="15.75" customHeight="1">
      <c r="A389" s="28"/>
      <c r="B389" s="29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 ht="15.75" customHeight="1">
      <c r="A390" s="28"/>
      <c r="B390" s="29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 ht="15.75" customHeight="1">
      <c r="A391" s="28"/>
      <c r="B391" s="29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 ht="15.75" customHeight="1">
      <c r="A392" s="28"/>
      <c r="B392" s="29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 ht="15.75" customHeight="1">
      <c r="A393" s="28"/>
      <c r="B393" s="29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ht="15.75" customHeight="1">
      <c r="A394" s="28"/>
      <c r="B394" s="29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 ht="15.75" customHeight="1">
      <c r="A395" s="28"/>
      <c r="B395" s="29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 ht="15.75" customHeight="1">
      <c r="A396" s="28"/>
      <c r="B396" s="29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 ht="15.75" customHeight="1">
      <c r="A397" s="28"/>
      <c r="B397" s="29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 ht="15.75" customHeight="1">
      <c r="A398" s="28"/>
      <c r="B398" s="29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 ht="15.75" customHeight="1">
      <c r="A399" s="28"/>
      <c r="B399" s="29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 ht="15.75" customHeight="1">
      <c r="A400" s="28"/>
      <c r="B400" s="29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 ht="15.75" customHeight="1">
      <c r="A401" s="28"/>
      <c r="B401" s="29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 ht="15.75" customHeight="1">
      <c r="A402" s="28"/>
      <c r="B402" s="29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ht="15.75" customHeight="1">
      <c r="A403" s="28"/>
      <c r="B403" s="29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 ht="15.75" customHeight="1">
      <c r="A404" s="28"/>
      <c r="B404" s="29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 ht="15.75" customHeight="1">
      <c r="A405" s="28"/>
      <c r="B405" s="29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 ht="15.75" customHeight="1">
      <c r="A406" s="28"/>
      <c r="B406" s="29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 ht="15.75" customHeight="1">
      <c r="A407" s="28"/>
      <c r="B407" s="29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 ht="15.75" customHeight="1">
      <c r="A408" s="28"/>
      <c r="B408" s="29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 ht="15.75" customHeight="1">
      <c r="A409" s="28"/>
      <c r="B409" s="29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 ht="15.75" customHeight="1">
      <c r="A410" s="28"/>
      <c r="B410" s="29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 ht="15.75" customHeight="1">
      <c r="A411" s="28"/>
      <c r="B411" s="29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 ht="15.75" customHeight="1">
      <c r="A412" s="28"/>
      <c r="B412" s="29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ht="15.75" customHeight="1">
      <c r="A413" s="28"/>
      <c r="B413" s="29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 ht="15.75" customHeight="1">
      <c r="A414" s="28"/>
      <c r="B414" s="29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 ht="15.75" customHeight="1">
      <c r="A415" s="28"/>
      <c r="B415" s="29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 ht="15.75" customHeight="1">
      <c r="A416" s="28"/>
      <c r="B416" s="29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 ht="15.75" customHeight="1">
      <c r="A417" s="28"/>
      <c r="B417" s="29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 ht="15.75" customHeight="1">
      <c r="A418" s="28"/>
      <c r="B418" s="29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 ht="15.75" customHeight="1">
      <c r="A419" s="28"/>
      <c r="B419" s="29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 ht="15.75" customHeight="1">
      <c r="A420" s="28"/>
      <c r="B420" s="29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 ht="15.75" customHeight="1">
      <c r="A421" s="28"/>
      <c r="B421" s="29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ht="15.75" customHeight="1">
      <c r="A422" s="28"/>
      <c r="B422" s="29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 ht="15.75" customHeight="1">
      <c r="A423" s="28"/>
      <c r="B423" s="29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 ht="15.75" customHeight="1">
      <c r="A424" s="28"/>
      <c r="B424" s="29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 ht="15.75" customHeight="1">
      <c r="A425" s="28"/>
      <c r="B425" s="29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 ht="15.75" customHeight="1">
      <c r="A426" s="28"/>
      <c r="B426" s="29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 ht="15.75" customHeight="1">
      <c r="A427" s="28"/>
      <c r="B427" s="29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 ht="15.75" customHeight="1">
      <c r="A428" s="28"/>
      <c r="B428" s="29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 ht="15.75" customHeight="1">
      <c r="A429" s="28"/>
      <c r="B429" s="29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 ht="15.75" customHeight="1">
      <c r="A430" s="28"/>
      <c r="B430" s="29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ht="15.75" customHeight="1">
      <c r="A431" s="28"/>
      <c r="B431" s="29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 ht="15.75" customHeight="1">
      <c r="A432" s="28"/>
      <c r="B432" s="29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 ht="15.75" customHeight="1">
      <c r="A433" s="28"/>
      <c r="B433" s="29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 ht="15.75" customHeight="1">
      <c r="A434" s="28"/>
      <c r="B434" s="29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 ht="15.75" customHeight="1">
      <c r="A435" s="28"/>
      <c r="B435" s="29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 ht="15.75" customHeight="1">
      <c r="A436" s="28"/>
      <c r="B436" s="29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 ht="15.75" customHeight="1">
      <c r="A437" s="28"/>
      <c r="B437" s="29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 ht="15.75" customHeight="1">
      <c r="A438" s="28"/>
      <c r="B438" s="29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 ht="15.75" customHeight="1">
      <c r="A439" s="28"/>
      <c r="B439" s="29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ht="15.75" customHeight="1">
      <c r="A440" s="28"/>
      <c r="B440" s="29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 ht="15.75" customHeight="1">
      <c r="A441" s="28"/>
      <c r="B441" s="29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 ht="15.75" customHeight="1">
      <c r="A442" s="28"/>
      <c r="B442" s="29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 ht="15.75" customHeight="1">
      <c r="A443" s="28"/>
      <c r="B443" s="29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 ht="15.75" customHeight="1">
      <c r="A444" s="28"/>
      <c r="B444" s="29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 ht="15.75" customHeight="1">
      <c r="A445" s="28"/>
      <c r="B445" s="29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 ht="15.75" customHeight="1">
      <c r="A446" s="28"/>
      <c r="B446" s="29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 ht="15.75" customHeight="1">
      <c r="A447" s="28"/>
      <c r="B447" s="29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 ht="15.75" customHeight="1">
      <c r="A448" s="28"/>
      <c r="B448" s="29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ht="15.75" customHeight="1">
      <c r="A449" s="28"/>
      <c r="B449" s="29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 ht="15.75" customHeight="1">
      <c r="A450" s="28"/>
      <c r="B450" s="29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 ht="15.75" customHeight="1">
      <c r="A451" s="28"/>
      <c r="B451" s="29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 ht="15.75" customHeight="1">
      <c r="A452" s="28"/>
      <c r="B452" s="29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 ht="15.75" customHeight="1">
      <c r="A453" s="28"/>
      <c r="B453" s="29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 ht="15.75" customHeight="1">
      <c r="A454" s="28"/>
      <c r="B454" s="29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 ht="15.75" customHeight="1">
      <c r="A455" s="28"/>
      <c r="B455" s="29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 ht="15.75" customHeight="1">
      <c r="A456" s="28"/>
      <c r="B456" s="29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 ht="15.75" customHeight="1">
      <c r="A457" s="28"/>
      <c r="B457" s="29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ht="15.75" customHeight="1">
      <c r="A458" s="28"/>
      <c r="B458" s="29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 ht="15.75" customHeight="1">
      <c r="A459" s="28"/>
      <c r="B459" s="29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 ht="15.75" customHeight="1">
      <c r="A460" s="28"/>
      <c r="B460" s="29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 ht="15.75" customHeight="1">
      <c r="A461" s="28"/>
      <c r="B461" s="29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 ht="15.75" customHeight="1">
      <c r="A462" s="28"/>
      <c r="B462" s="29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 ht="15.75" customHeight="1">
      <c r="A463" s="28"/>
      <c r="B463" s="29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 ht="15.75" customHeight="1">
      <c r="A464" s="28"/>
      <c r="B464" s="29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 ht="15.75" customHeight="1">
      <c r="A465" s="28"/>
      <c r="B465" s="29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 ht="15.75" customHeight="1">
      <c r="A466" s="28"/>
      <c r="B466" s="29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ht="15.75" customHeight="1">
      <c r="A467" s="28"/>
      <c r="B467" s="29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 ht="15.75" customHeight="1">
      <c r="A468" s="28"/>
      <c r="B468" s="29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 ht="15.75" customHeight="1">
      <c r="A469" s="28"/>
      <c r="B469" s="29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 ht="15.75" customHeight="1">
      <c r="A470" s="28"/>
      <c r="B470" s="29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 ht="15.75" customHeight="1">
      <c r="A471" s="28"/>
      <c r="B471" s="29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ht="15.75" customHeight="1">
      <c r="A472" s="28"/>
      <c r="B472" s="29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 ht="15.75" customHeight="1">
      <c r="A473" s="28"/>
      <c r="B473" s="29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 ht="15.75" customHeight="1">
      <c r="A474" s="28"/>
      <c r="B474" s="29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 ht="15.75" customHeight="1">
      <c r="A475" s="28"/>
      <c r="B475" s="29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ht="15.75" customHeight="1">
      <c r="A476" s="28"/>
      <c r="B476" s="29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 ht="15.75" customHeight="1">
      <c r="A477" s="28"/>
      <c r="B477" s="29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 ht="15.75" customHeight="1">
      <c r="A478" s="28"/>
      <c r="B478" s="29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 ht="15.75" customHeight="1">
      <c r="A479" s="28"/>
      <c r="B479" s="29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 ht="15.75" customHeight="1">
      <c r="A480" s="28"/>
      <c r="B480" s="29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 ht="15.75" customHeight="1">
      <c r="A481" s="28"/>
      <c r="B481" s="29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 ht="15.75" customHeight="1">
      <c r="A482" s="28"/>
      <c r="B482" s="29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 ht="15.75" customHeight="1">
      <c r="A483" s="28"/>
      <c r="B483" s="29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 ht="15.75" customHeight="1">
      <c r="A484" s="28"/>
      <c r="B484" s="29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ht="15.75" customHeight="1">
      <c r="A485" s="28"/>
      <c r="B485" s="29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 ht="15.75" customHeight="1">
      <c r="A486" s="28"/>
      <c r="B486" s="29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 ht="15.75" customHeight="1">
      <c r="A487" s="28"/>
      <c r="B487" s="29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 ht="15.75" customHeight="1">
      <c r="A488" s="28"/>
      <c r="B488" s="29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 ht="15.75" customHeight="1">
      <c r="A489" s="28"/>
      <c r="B489" s="29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 ht="15.75" customHeight="1">
      <c r="A490" s="28"/>
      <c r="B490" s="29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 ht="15.75" customHeight="1">
      <c r="A491" s="28"/>
      <c r="B491" s="29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 ht="15.75" customHeight="1">
      <c r="A492" s="28"/>
      <c r="B492" s="29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 ht="15.75" customHeight="1">
      <c r="A493" s="28"/>
      <c r="B493" s="29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ht="15.75" customHeight="1">
      <c r="A494" s="28"/>
      <c r="B494" s="29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 ht="15.75" customHeight="1">
      <c r="A495" s="28"/>
      <c r="B495" s="29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ht="15.75" customHeight="1">
      <c r="A496" s="28"/>
      <c r="B496" s="29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ht="15.75" customHeight="1">
      <c r="A497" s="28"/>
      <c r="B497" s="29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 ht="15.75" customHeight="1">
      <c r="A498" s="28"/>
      <c r="B498" s="29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 ht="15.75" customHeight="1">
      <c r="A499" s="28"/>
      <c r="B499" s="29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 ht="15.75" customHeight="1">
      <c r="A500" s="28"/>
      <c r="B500" s="2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 ht="15.75" customHeight="1">
      <c r="A501" s="28"/>
      <c r="B501" s="29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 ht="15.75" customHeight="1">
      <c r="A502" s="28"/>
      <c r="B502" s="29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 ht="15.75" customHeight="1">
      <c r="A503" s="28"/>
      <c r="B503" s="29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 ht="15.75" customHeight="1">
      <c r="A504" s="28"/>
      <c r="B504" s="29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ht="15.75" customHeight="1">
      <c r="A505" s="28"/>
      <c r="B505" s="29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 ht="15.75" customHeight="1">
      <c r="A506" s="28"/>
      <c r="B506" s="29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 ht="15.75" customHeight="1">
      <c r="A507" s="28"/>
      <c r="B507" s="29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 ht="15.75" customHeight="1">
      <c r="A508" s="28"/>
      <c r="B508" s="29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 ht="15.75" customHeight="1">
      <c r="A509" s="28"/>
      <c r="B509" s="29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 ht="15.75" customHeight="1">
      <c r="A510" s="28"/>
      <c r="B510" s="29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 ht="15.75" customHeight="1">
      <c r="A511" s="28"/>
      <c r="B511" s="29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 ht="15.75" customHeight="1">
      <c r="A512" s="28"/>
      <c r="B512" s="29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 ht="15.75" customHeight="1">
      <c r="A513" s="28"/>
      <c r="B513" s="29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ht="15.75" customHeight="1">
      <c r="A514" s="28"/>
      <c r="B514" s="29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 ht="15.75" customHeight="1">
      <c r="A515" s="28"/>
      <c r="B515" s="29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 ht="15.75" customHeight="1">
      <c r="A516" s="28"/>
      <c r="B516" s="29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 ht="15.75" customHeight="1">
      <c r="A517" s="28"/>
      <c r="B517" s="29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 ht="15.75" customHeight="1">
      <c r="A518" s="28"/>
      <c r="B518" s="29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 ht="15.75" customHeight="1">
      <c r="A519" s="28"/>
      <c r="B519" s="29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 ht="15.75" customHeight="1">
      <c r="A520" s="28"/>
      <c r="B520" s="29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 ht="15.75" customHeight="1">
      <c r="A521" s="28"/>
      <c r="B521" s="29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 ht="15.75" customHeight="1">
      <c r="A522" s="28"/>
      <c r="B522" s="29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 ht="15.75" customHeight="1">
      <c r="A523" s="28"/>
      <c r="B523" s="29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ht="15.75" customHeight="1">
      <c r="A524" s="28"/>
      <c r="B524" s="29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 ht="15.75" customHeight="1">
      <c r="A525" s="28"/>
      <c r="B525" s="29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 ht="15.75" customHeight="1">
      <c r="A526" s="28"/>
      <c r="B526" s="29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 ht="15.75" customHeight="1">
      <c r="A527" s="28"/>
      <c r="B527" s="29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 ht="15.75" customHeight="1">
      <c r="A528" s="28"/>
      <c r="B528" s="29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 ht="15.75" customHeight="1">
      <c r="A529" s="28"/>
      <c r="B529" s="29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 ht="15.75" customHeight="1">
      <c r="A530" s="28"/>
      <c r="B530" s="29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 ht="15.75" customHeight="1">
      <c r="A531" s="28"/>
      <c r="B531" s="29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 ht="15.75" customHeight="1">
      <c r="A532" s="28"/>
      <c r="B532" s="29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ht="15.75" customHeight="1">
      <c r="A533" s="28"/>
      <c r="B533" s="29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 ht="15.75" customHeight="1">
      <c r="A534" s="28"/>
      <c r="B534" s="29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 ht="15.75" customHeight="1">
      <c r="A535" s="28"/>
      <c r="B535" s="29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 ht="15.75" customHeight="1">
      <c r="A536" s="28"/>
      <c r="B536" s="29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 ht="15.75" customHeight="1">
      <c r="A537" s="28"/>
      <c r="B537" s="29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 ht="15.75" customHeight="1">
      <c r="A538" s="28"/>
      <c r="B538" s="29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 ht="15.75" customHeight="1">
      <c r="A539" s="28"/>
      <c r="B539" s="29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 ht="15.75" customHeight="1">
      <c r="A540" s="28"/>
      <c r="B540" s="29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 ht="15.75" customHeight="1">
      <c r="A541" s="28"/>
      <c r="B541" s="29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ht="15.75" customHeight="1">
      <c r="A542" s="28"/>
      <c r="B542" s="29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 ht="15.75" customHeight="1">
      <c r="A543" s="28"/>
      <c r="B543" s="29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 ht="15.75" customHeight="1">
      <c r="A544" s="28"/>
      <c r="B544" s="29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 ht="15.75" customHeight="1">
      <c r="A545" s="28"/>
      <c r="B545" s="29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 ht="15.75" customHeight="1">
      <c r="A546" s="28"/>
      <c r="B546" s="29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 ht="15.75" customHeight="1">
      <c r="A547" s="28"/>
      <c r="B547" s="29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 ht="15.75" customHeight="1">
      <c r="A548" s="28"/>
      <c r="B548" s="29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 ht="15.75" customHeight="1">
      <c r="A549" s="28"/>
      <c r="B549" s="29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 ht="15.75" customHeight="1">
      <c r="A550" s="28"/>
      <c r="B550" s="29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ht="15.75" customHeight="1">
      <c r="A551" s="28"/>
      <c r="B551" s="29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 ht="15.75" customHeight="1">
      <c r="A552" s="28"/>
      <c r="B552" s="29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 ht="15.75" customHeight="1">
      <c r="A553" s="28"/>
      <c r="B553" s="29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 ht="15.75" customHeight="1">
      <c r="A554" s="28"/>
      <c r="B554" s="29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ht="15.75" customHeight="1">
      <c r="A555" s="28"/>
      <c r="B555" s="29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ht="15.75" customHeight="1">
      <c r="A556" s="28"/>
      <c r="B556" s="29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 ht="15.75" customHeight="1">
      <c r="A557" s="28"/>
      <c r="B557" s="29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 ht="15.75" customHeight="1">
      <c r="A558" s="28"/>
      <c r="B558" s="29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 ht="15.75" customHeight="1">
      <c r="A559" s="28"/>
      <c r="B559" s="29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 ht="15.75" customHeight="1">
      <c r="A560" s="28"/>
      <c r="B560" s="29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 ht="15.75" customHeight="1">
      <c r="A561" s="28"/>
      <c r="B561" s="29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 ht="15.75" customHeight="1">
      <c r="A562" s="28"/>
      <c r="B562" s="29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ht="15.75" customHeight="1">
      <c r="A563" s="28"/>
      <c r="B563" s="29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 ht="15.75" customHeight="1">
      <c r="A564" s="28"/>
      <c r="B564" s="29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 ht="15.75" customHeight="1">
      <c r="A565" s="28"/>
      <c r="B565" s="29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 ht="15.75" customHeight="1">
      <c r="A566" s="28"/>
      <c r="B566" s="29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 ht="15.75" customHeight="1">
      <c r="A567" s="28"/>
      <c r="B567" s="29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 ht="15.75" customHeight="1">
      <c r="A568" s="28"/>
      <c r="B568" s="29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 ht="15.75" customHeight="1">
      <c r="A569" s="28"/>
      <c r="B569" s="29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 ht="15.75" customHeight="1">
      <c r="A570" s="28"/>
      <c r="B570" s="29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 ht="15.75" customHeight="1">
      <c r="A571" s="28"/>
      <c r="B571" s="29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ht="15.75" customHeight="1">
      <c r="A572" s="28"/>
      <c r="B572" s="29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 ht="15.75" customHeight="1">
      <c r="A573" s="28"/>
      <c r="B573" s="29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 ht="15.75" customHeight="1">
      <c r="A574" s="28"/>
      <c r="B574" s="29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 ht="15.75" customHeight="1">
      <c r="A575" s="28"/>
      <c r="B575" s="29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 ht="15.75" customHeight="1">
      <c r="A576" s="28"/>
      <c r="B576" s="29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 ht="15.75" customHeight="1">
      <c r="A577" s="28"/>
      <c r="B577" s="29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 ht="15.75" customHeight="1">
      <c r="A578" s="28"/>
      <c r="B578" s="29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 ht="15.75" customHeight="1">
      <c r="A579" s="28"/>
      <c r="B579" s="29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 ht="15.75" customHeight="1">
      <c r="A580" s="28"/>
      <c r="B580" s="29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 ht="15.75" customHeight="1">
      <c r="A581" s="28"/>
      <c r="B581" s="29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ht="15.75" customHeight="1">
      <c r="A582" s="28"/>
      <c r="B582" s="29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 ht="15.75" customHeight="1">
      <c r="A583" s="28"/>
      <c r="B583" s="29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 ht="15.75" customHeight="1">
      <c r="A584" s="28"/>
      <c r="B584" s="29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 ht="15.75" customHeight="1">
      <c r="A585" s="28"/>
      <c r="B585" s="29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 ht="15.75" customHeight="1">
      <c r="A586" s="28"/>
      <c r="B586" s="29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 ht="15.75" customHeight="1">
      <c r="A587" s="28"/>
      <c r="B587" s="29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 ht="15.75" customHeight="1">
      <c r="A588" s="28"/>
      <c r="B588" s="29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 ht="15.75" customHeight="1">
      <c r="A589" s="28"/>
      <c r="B589" s="29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 ht="15.75" customHeight="1">
      <c r="A590" s="28"/>
      <c r="B590" s="29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ht="15.75" customHeight="1">
      <c r="A591" s="28"/>
      <c r="B591" s="29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 ht="15.75" customHeight="1">
      <c r="A592" s="28"/>
      <c r="B592" s="29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 ht="15.75" customHeight="1">
      <c r="A593" s="28"/>
      <c r="B593" s="29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 ht="15.75" customHeight="1">
      <c r="A594" s="28"/>
      <c r="B594" s="29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 ht="15.75" customHeight="1">
      <c r="A595" s="28"/>
      <c r="B595" s="29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 ht="15.75" customHeight="1">
      <c r="A596" s="28"/>
      <c r="B596" s="29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 ht="15.75" customHeight="1">
      <c r="A597" s="28"/>
      <c r="B597" s="29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 ht="15.75" customHeight="1">
      <c r="A598" s="28"/>
      <c r="B598" s="29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 ht="15.75" customHeight="1">
      <c r="A599" s="28"/>
      <c r="B599" s="29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 ht="15.75" customHeight="1">
      <c r="A600" s="28"/>
      <c r="B600" s="29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ht="15.75" customHeight="1">
      <c r="A601" s="28"/>
      <c r="B601" s="29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 ht="15.75" customHeight="1">
      <c r="A602" s="28"/>
      <c r="B602" s="29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 ht="15.75" customHeight="1">
      <c r="A603" s="28"/>
      <c r="B603" s="29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 ht="15.75" customHeight="1">
      <c r="A604" s="28"/>
      <c r="B604" s="29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 ht="15.75" customHeight="1">
      <c r="A605" s="28"/>
      <c r="B605" s="29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ht="15.75" customHeight="1">
      <c r="A606" s="28"/>
      <c r="B606" s="29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ht="15.75" customHeight="1">
      <c r="A607" s="28"/>
      <c r="B607" s="29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 ht="15.75" customHeight="1">
      <c r="A608" s="28"/>
      <c r="B608" s="29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 ht="15.75" customHeight="1">
      <c r="A609" s="28"/>
      <c r="B609" s="29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 ht="15.75" customHeight="1">
      <c r="A610" s="28"/>
      <c r="B610" s="29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 ht="15.75" customHeight="1">
      <c r="A611" s="28"/>
      <c r="B611" s="29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ht="15.75" customHeight="1">
      <c r="A612" s="28"/>
      <c r="B612" s="29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 ht="15.75" customHeight="1">
      <c r="A613" s="28"/>
      <c r="B613" s="29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 ht="15.75" customHeight="1">
      <c r="A614" s="28"/>
      <c r="B614" s="29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 ht="15.75" customHeight="1">
      <c r="A615" s="28"/>
      <c r="B615" s="29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 ht="15.75" customHeight="1">
      <c r="A616" s="28"/>
      <c r="B616" s="29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 ht="15.75" customHeight="1">
      <c r="A617" s="28"/>
      <c r="B617" s="29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 ht="15.75" customHeight="1">
      <c r="A618" s="28"/>
      <c r="B618" s="29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 ht="15.75" customHeight="1">
      <c r="A619" s="28"/>
      <c r="B619" s="29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 ht="15.75" customHeight="1">
      <c r="A620" s="28"/>
      <c r="B620" s="29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 ht="15.75" customHeight="1">
      <c r="A621" s="28"/>
      <c r="B621" s="29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ht="15.75" customHeight="1">
      <c r="A622" s="28"/>
      <c r="B622" s="29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 ht="15.75" customHeight="1">
      <c r="A623" s="28"/>
      <c r="B623" s="29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 ht="15.75" customHeight="1">
      <c r="A624" s="28"/>
      <c r="B624" s="29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 ht="15.75" customHeight="1">
      <c r="A625" s="28"/>
      <c r="B625" s="29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 ht="15.75" customHeight="1">
      <c r="A626" s="28"/>
      <c r="B626" s="29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 ht="15.75" customHeight="1">
      <c r="A627" s="28"/>
      <c r="B627" s="29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 ht="15.75" customHeight="1">
      <c r="A628" s="28"/>
      <c r="B628" s="29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 ht="15.75" customHeight="1">
      <c r="A629" s="28"/>
      <c r="B629" s="29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 ht="15.75" customHeight="1">
      <c r="A630" s="28"/>
      <c r="B630" s="29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 ht="15.75" customHeight="1">
      <c r="A631" s="28"/>
      <c r="B631" s="29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ht="15.75" customHeight="1">
      <c r="A632" s="28"/>
      <c r="B632" s="29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 ht="15.75" customHeight="1">
      <c r="A633" s="28"/>
      <c r="B633" s="29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 ht="15.75" customHeight="1">
      <c r="A634" s="28"/>
      <c r="B634" s="29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 ht="15.75" customHeight="1">
      <c r="A635" s="28"/>
      <c r="B635" s="29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 ht="15.75" customHeight="1">
      <c r="A636" s="28"/>
      <c r="B636" s="29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 ht="15.75" customHeight="1">
      <c r="A637" s="28"/>
      <c r="B637" s="29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 ht="15.75" customHeight="1">
      <c r="A638" s="28"/>
      <c r="B638" s="29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 ht="15.75" customHeight="1">
      <c r="A639" s="28"/>
      <c r="B639" s="29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 ht="15.75" customHeight="1">
      <c r="A640" s="28"/>
      <c r="B640" s="29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ht="15.75" customHeight="1">
      <c r="A641" s="28"/>
      <c r="B641" s="29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 ht="15.75" customHeight="1">
      <c r="A642" s="28"/>
      <c r="B642" s="29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 ht="15.75" customHeight="1">
      <c r="A643" s="28"/>
      <c r="B643" s="29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 ht="15.75" customHeight="1">
      <c r="A644" s="28"/>
      <c r="B644" s="29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 ht="15.75" customHeight="1">
      <c r="A645" s="28"/>
      <c r="B645" s="29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 ht="15.75" customHeight="1">
      <c r="A646" s="28"/>
      <c r="B646" s="29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 ht="15.75" customHeight="1">
      <c r="A647" s="28"/>
      <c r="B647" s="29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 ht="15.75" customHeight="1">
      <c r="A648" s="28"/>
      <c r="B648" s="29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 ht="15.75" customHeight="1">
      <c r="A649" s="28"/>
      <c r="B649" s="29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 ht="15.75" customHeight="1">
      <c r="A650" s="28"/>
      <c r="B650" s="29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ht="15.75" customHeight="1">
      <c r="A651" s="28"/>
      <c r="B651" s="29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 ht="15.75" customHeight="1">
      <c r="A652" s="28"/>
      <c r="B652" s="29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 ht="15.75" customHeight="1">
      <c r="A653" s="28"/>
      <c r="B653" s="29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 ht="15.75" customHeight="1">
      <c r="A654" s="28"/>
      <c r="B654" s="29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 ht="15.75" customHeight="1">
      <c r="A655" s="28"/>
      <c r="B655" s="29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 ht="15.75" customHeight="1">
      <c r="A656" s="28"/>
      <c r="B656" s="29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 ht="15.75" customHeight="1">
      <c r="A657" s="28"/>
      <c r="B657" s="29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 ht="15.75" customHeight="1">
      <c r="A658" s="28"/>
      <c r="B658" s="29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 ht="15.75" customHeight="1">
      <c r="A659" s="28"/>
      <c r="B659" s="29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 ht="15.75" customHeight="1">
      <c r="A660" s="28"/>
      <c r="B660" s="29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ht="15.75" customHeight="1">
      <c r="A661" s="28"/>
      <c r="B661" s="29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 ht="15.75" customHeight="1">
      <c r="A662" s="28"/>
      <c r="B662" s="29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 ht="15.75" customHeight="1">
      <c r="A663" s="28"/>
      <c r="B663" s="29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 ht="15.75" customHeight="1">
      <c r="A664" s="28"/>
      <c r="B664" s="2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 ht="15.75" customHeight="1">
      <c r="A665" s="28"/>
      <c r="B665" s="29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 ht="15.75" customHeight="1">
      <c r="A666" s="28"/>
      <c r="B666" s="29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 ht="15.75" customHeight="1">
      <c r="A667" s="28"/>
      <c r="B667" s="29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 ht="15.75" customHeight="1">
      <c r="A668" s="28"/>
      <c r="B668" s="29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 ht="15.75" customHeight="1">
      <c r="A669" s="28"/>
      <c r="B669" s="29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 ht="15.75" customHeight="1">
      <c r="A670" s="28"/>
      <c r="B670" s="29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ht="15.75" customHeight="1">
      <c r="A671" s="28"/>
      <c r="B671" s="29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 ht="15.75" customHeight="1">
      <c r="A672" s="28"/>
      <c r="B672" s="29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 ht="15.75" customHeight="1">
      <c r="A673" s="28"/>
      <c r="B673" s="29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 ht="15.75" customHeight="1">
      <c r="A674" s="28"/>
      <c r="B674" s="29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 ht="15.75" customHeight="1">
      <c r="A675" s="28"/>
      <c r="B675" s="29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 ht="15.75" customHeight="1">
      <c r="A676" s="28"/>
      <c r="B676" s="29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 ht="15.75" customHeight="1">
      <c r="A677" s="28"/>
      <c r="B677" s="29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 ht="15.75" customHeight="1">
      <c r="A678" s="28"/>
      <c r="B678" s="29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 ht="15.75" customHeight="1">
      <c r="A679" s="28"/>
      <c r="B679" s="29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 ht="15.75" customHeight="1">
      <c r="A680" s="28"/>
      <c r="B680" s="29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ht="15.75" customHeight="1">
      <c r="A681" s="28"/>
      <c r="B681" s="29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 ht="15.75" customHeight="1">
      <c r="A682" s="28"/>
      <c r="B682" s="29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 ht="15.75" customHeight="1">
      <c r="A683" s="28"/>
      <c r="B683" s="29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 ht="15.75" customHeight="1">
      <c r="A684" s="28"/>
      <c r="B684" s="29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 ht="15.75" customHeight="1">
      <c r="A685" s="28"/>
      <c r="B685" s="29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 ht="15.75" customHeight="1">
      <c r="A686" s="28"/>
      <c r="B686" s="29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 ht="15.75" customHeight="1">
      <c r="A687" s="28"/>
      <c r="B687" s="29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 ht="15.75" customHeight="1">
      <c r="A688" s="28"/>
      <c r="B688" s="29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 ht="15.75" customHeight="1">
      <c r="A689" s="28"/>
      <c r="B689" s="29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ht="15.75" customHeight="1">
      <c r="A690" s="28"/>
      <c r="B690" s="29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 ht="15.75" customHeight="1">
      <c r="A691" s="28"/>
      <c r="B691" s="29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 ht="15.75" customHeight="1">
      <c r="A692" s="28"/>
      <c r="B692" s="29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 ht="15.75" customHeight="1">
      <c r="A693" s="28"/>
      <c r="B693" s="29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 ht="15.75" customHeight="1">
      <c r="A694" s="28"/>
      <c r="B694" s="29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 ht="15.75" customHeight="1">
      <c r="A695" s="28"/>
      <c r="B695" s="29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 ht="15.75" customHeight="1">
      <c r="A696" s="28"/>
      <c r="B696" s="29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 ht="15.75" customHeight="1">
      <c r="A697" s="28"/>
      <c r="B697" s="29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 ht="15.75" customHeight="1">
      <c r="A698" s="28"/>
      <c r="B698" s="29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 ht="15.75" customHeight="1">
      <c r="A699" s="28"/>
      <c r="B699" s="29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 ht="15.75" customHeight="1">
      <c r="A700" s="28"/>
      <c r="B700" s="29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ht="15.75" customHeight="1">
      <c r="A701" s="28"/>
      <c r="B701" s="29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 ht="15.75" customHeight="1">
      <c r="A702" s="28"/>
      <c r="B702" s="29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 ht="15.75" customHeight="1">
      <c r="A703" s="28"/>
      <c r="B703" s="29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 ht="15.75" customHeight="1">
      <c r="A704" s="28"/>
      <c r="B704" s="29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 ht="15.75" customHeight="1">
      <c r="A705" s="28"/>
      <c r="B705" s="29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 ht="15.75" customHeight="1">
      <c r="A706" s="28"/>
      <c r="B706" s="29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 ht="15.75" customHeight="1">
      <c r="A707" s="28"/>
      <c r="B707" s="29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 ht="15.75" customHeight="1">
      <c r="A708" s="28"/>
      <c r="B708" s="29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 ht="15.75" customHeight="1">
      <c r="A709" s="28"/>
      <c r="B709" s="29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 ht="15.75" customHeight="1">
      <c r="A710" s="28"/>
      <c r="B710" s="29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ht="15.75" customHeight="1">
      <c r="A711" s="28"/>
      <c r="B711" s="29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 ht="15.75" customHeight="1">
      <c r="A712" s="28"/>
      <c r="B712" s="29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 ht="15.75" customHeight="1">
      <c r="A713" s="28"/>
      <c r="B713" s="29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 ht="15.75" customHeight="1">
      <c r="A714" s="28"/>
      <c r="B714" s="29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 ht="15.75" customHeight="1">
      <c r="A715" s="28"/>
      <c r="B715" s="29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 ht="15.75" customHeight="1">
      <c r="A716" s="28"/>
      <c r="B716" s="29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 ht="15.75" customHeight="1">
      <c r="A717" s="28"/>
      <c r="B717" s="29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 ht="15.75" customHeight="1">
      <c r="A718" s="28"/>
      <c r="B718" s="29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 ht="15.75" customHeight="1">
      <c r="A719" s="28"/>
      <c r="B719" s="29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ht="15.75" customHeight="1">
      <c r="A720" s="28"/>
      <c r="B720" s="29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 ht="15.75" customHeight="1">
      <c r="A721" s="28"/>
      <c r="B721" s="29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 ht="15.75" customHeight="1">
      <c r="A722" s="28"/>
      <c r="B722" s="29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 ht="15.75" customHeight="1">
      <c r="A723" s="28"/>
      <c r="B723" s="29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 ht="15.75" customHeight="1">
      <c r="A724" s="28"/>
      <c r="B724" s="29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 ht="15.75" customHeight="1">
      <c r="A725" s="28"/>
      <c r="B725" s="29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 ht="15.75" customHeight="1">
      <c r="A726" s="28"/>
      <c r="B726" s="29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 ht="15.75" customHeight="1">
      <c r="A727" s="28"/>
      <c r="B727" s="29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 ht="15.75" customHeight="1">
      <c r="A728" s="28"/>
      <c r="B728" s="29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ht="15.75" customHeight="1">
      <c r="A729" s="28"/>
      <c r="B729" s="29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 ht="15.75" customHeight="1">
      <c r="A730" s="28"/>
      <c r="B730" s="29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 ht="15.75" customHeight="1">
      <c r="A731" s="28"/>
      <c r="B731" s="29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 ht="15.75" customHeight="1">
      <c r="A732" s="28"/>
      <c r="B732" s="29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 ht="15.75" customHeight="1">
      <c r="A733" s="28"/>
      <c r="B733" s="29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 ht="15.75" customHeight="1">
      <c r="A734" s="28"/>
      <c r="B734" s="29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 ht="15.75" customHeight="1">
      <c r="A735" s="28"/>
      <c r="B735" s="29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 ht="15.75" customHeight="1">
      <c r="A736" s="28"/>
      <c r="B736" s="29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 ht="15.75" customHeight="1">
      <c r="A737" s="28"/>
      <c r="B737" s="29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 ht="15.75" customHeight="1">
      <c r="A738" s="28"/>
      <c r="B738" s="29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ht="15.75" customHeight="1">
      <c r="A739" s="28"/>
      <c r="B739" s="29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 ht="15.75" customHeight="1">
      <c r="A740" s="28"/>
      <c r="B740" s="29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 ht="15.75" customHeight="1">
      <c r="A741" s="28"/>
      <c r="B741" s="29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 ht="15.75" customHeight="1">
      <c r="A742" s="28"/>
      <c r="B742" s="29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 ht="15.75" customHeight="1">
      <c r="A743" s="28"/>
      <c r="B743" s="29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 ht="15.75" customHeight="1">
      <c r="A744" s="28"/>
      <c r="B744" s="29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 ht="15.75" customHeight="1">
      <c r="A745" s="28"/>
      <c r="B745" s="29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 ht="15.75" customHeight="1">
      <c r="A746" s="28"/>
      <c r="B746" s="29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 ht="15.75" customHeight="1">
      <c r="A747" s="28"/>
      <c r="B747" s="29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ht="15.75" customHeight="1">
      <c r="A748" s="28"/>
      <c r="B748" s="29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 ht="15.75" customHeight="1">
      <c r="A749" s="28"/>
      <c r="B749" s="29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 ht="15.75" customHeight="1">
      <c r="A750" s="28"/>
      <c r="B750" s="29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 ht="15.75" customHeight="1">
      <c r="A751" s="28"/>
      <c r="B751" s="29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 ht="15.75" customHeight="1">
      <c r="A752" s="28"/>
      <c r="B752" s="29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 ht="15.75" customHeight="1">
      <c r="A753" s="28"/>
      <c r="B753" s="29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 ht="15.75" customHeight="1">
      <c r="A754" s="28"/>
      <c r="B754" s="29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 ht="15.75" customHeight="1">
      <c r="A755" s="28"/>
      <c r="B755" s="29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 ht="15.75" customHeight="1">
      <c r="A756" s="28"/>
      <c r="B756" s="29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ht="15.75" customHeight="1">
      <c r="A757" s="28"/>
      <c r="B757" s="29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 ht="15.75" customHeight="1">
      <c r="A758" s="28"/>
      <c r="B758" s="29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 ht="15.75" customHeight="1">
      <c r="A759" s="28"/>
      <c r="B759" s="29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 ht="15.75" customHeight="1">
      <c r="A760" s="28"/>
      <c r="B760" s="29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 ht="15.75" customHeight="1">
      <c r="A761" s="28"/>
      <c r="B761" s="29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 ht="15.75" customHeight="1">
      <c r="A762" s="28"/>
      <c r="B762" s="29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 ht="15.75" customHeight="1">
      <c r="A763" s="28"/>
      <c r="B763" s="29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 ht="15.75" customHeight="1">
      <c r="A764" s="28"/>
      <c r="B764" s="29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 ht="15.75" customHeight="1">
      <c r="A765" s="28"/>
      <c r="B765" s="29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 ht="15.75" customHeight="1">
      <c r="A766" s="28"/>
      <c r="B766" s="29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ht="15.75" customHeight="1">
      <c r="A767" s="28"/>
      <c r="B767" s="29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 ht="15.75" customHeight="1">
      <c r="A768" s="28"/>
      <c r="B768" s="29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 ht="15.75" customHeight="1">
      <c r="A769" s="28"/>
      <c r="B769" s="29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 ht="15.75" customHeight="1">
      <c r="A770" s="28"/>
      <c r="B770" s="29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 ht="15.75" customHeight="1">
      <c r="A771" s="28"/>
      <c r="B771" s="29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 ht="15.75" customHeight="1">
      <c r="A772" s="28"/>
      <c r="B772" s="29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 ht="15.75" customHeight="1">
      <c r="A773" s="28"/>
      <c r="B773" s="29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 ht="15.75" customHeight="1">
      <c r="A774" s="28"/>
      <c r="B774" s="29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 ht="15.75" customHeight="1">
      <c r="A775" s="28"/>
      <c r="B775" s="29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ht="15.75" customHeight="1">
      <c r="A776" s="28"/>
      <c r="B776" s="29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 ht="15.75" customHeight="1">
      <c r="A777" s="28"/>
      <c r="B777" s="29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 ht="15.75" customHeight="1">
      <c r="A778" s="28"/>
      <c r="B778" s="29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 ht="15.75" customHeight="1">
      <c r="A779" s="28"/>
      <c r="B779" s="29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 ht="15.75" customHeight="1">
      <c r="A780" s="28"/>
      <c r="B780" s="29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 ht="15.75" customHeight="1">
      <c r="A781" s="28"/>
      <c r="B781" s="29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 ht="15.75" customHeight="1">
      <c r="A782" s="28"/>
      <c r="B782" s="29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 ht="15.75" customHeight="1">
      <c r="A783" s="28"/>
      <c r="B783" s="29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 ht="15.75" customHeight="1">
      <c r="A784" s="28"/>
      <c r="B784" s="29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 ht="15.75" customHeight="1">
      <c r="A785" s="28"/>
      <c r="B785" s="29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ht="15.75" customHeight="1">
      <c r="A786" s="28"/>
      <c r="B786" s="29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 ht="15.75" customHeight="1">
      <c r="A787" s="28"/>
      <c r="B787" s="29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 ht="15.75" customHeight="1">
      <c r="A788" s="28"/>
      <c r="B788" s="29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 ht="15.75" customHeight="1">
      <c r="A789" s="28"/>
      <c r="B789" s="29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 ht="15.75" customHeight="1">
      <c r="A790" s="28"/>
      <c r="B790" s="29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 ht="15.75" customHeight="1">
      <c r="A791" s="28"/>
      <c r="B791" s="29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 ht="15.75" customHeight="1">
      <c r="A792" s="28"/>
      <c r="B792" s="29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 ht="15.75" customHeight="1">
      <c r="A793" s="28"/>
      <c r="B793" s="29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 ht="15.75" customHeight="1">
      <c r="A794" s="28"/>
      <c r="B794" s="29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 ht="15.75" customHeight="1">
      <c r="A795" s="28"/>
      <c r="B795" s="29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ht="15.75" customHeight="1">
      <c r="A796" s="28"/>
      <c r="B796" s="29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 ht="15.75" customHeight="1">
      <c r="A797" s="28"/>
      <c r="B797" s="29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 ht="15.75" customHeight="1">
      <c r="A798" s="28"/>
      <c r="B798" s="29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 ht="15.75" customHeight="1">
      <c r="A799" s="28"/>
      <c r="B799" s="29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 ht="15.75" customHeight="1">
      <c r="A800" s="28"/>
      <c r="B800" s="29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 ht="15.75" customHeight="1">
      <c r="A801" s="28"/>
      <c r="B801" s="29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 ht="15.75" customHeight="1">
      <c r="A802" s="28"/>
      <c r="B802" s="29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 ht="15.75" customHeight="1">
      <c r="A803" s="28"/>
      <c r="B803" s="29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 ht="15.75" customHeight="1">
      <c r="A804" s="28"/>
      <c r="B804" s="29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ht="15.75" customHeight="1">
      <c r="A805" s="28"/>
      <c r="B805" s="29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 ht="15.75" customHeight="1">
      <c r="A806" s="28"/>
      <c r="B806" s="29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 ht="15.75" customHeight="1">
      <c r="A807" s="28"/>
      <c r="B807" s="29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 ht="15.75" customHeight="1">
      <c r="A808" s="28"/>
      <c r="B808" s="29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 ht="15.75" customHeight="1">
      <c r="A809" s="28"/>
      <c r="B809" s="29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 ht="15.75" customHeight="1">
      <c r="A810" s="28"/>
      <c r="B810" s="29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 ht="15.75" customHeight="1">
      <c r="A811" s="28"/>
      <c r="B811" s="29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 ht="15.75" customHeight="1">
      <c r="A812" s="28"/>
      <c r="B812" s="29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 ht="15.75" customHeight="1">
      <c r="A813" s="28"/>
      <c r="B813" s="29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 ht="15.75" customHeight="1">
      <c r="A814" s="28"/>
      <c r="B814" s="29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 ht="15.75" customHeight="1">
      <c r="A815" s="28"/>
      <c r="B815" s="29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ht="15.75" customHeight="1">
      <c r="A816" s="28"/>
      <c r="B816" s="29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 ht="15.75" customHeight="1">
      <c r="A817" s="28"/>
      <c r="B817" s="29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 ht="15.75" customHeight="1">
      <c r="A818" s="28"/>
      <c r="B818" s="29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 ht="15.75" customHeight="1">
      <c r="A819" s="28"/>
      <c r="B819" s="29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 ht="15.75" customHeight="1">
      <c r="A820" s="28"/>
      <c r="B820" s="29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 ht="15.75" customHeight="1">
      <c r="A821" s="28"/>
      <c r="B821" s="29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 ht="15.75" customHeight="1">
      <c r="A822" s="28"/>
      <c r="B822" s="29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 ht="15.75" customHeight="1">
      <c r="A823" s="28"/>
      <c r="B823" s="29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 ht="15.75" customHeight="1">
      <c r="A824" s="28"/>
      <c r="B824" s="29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ht="15.75" customHeight="1">
      <c r="A825" s="28"/>
      <c r="B825" s="29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 ht="15.75" customHeight="1">
      <c r="A826" s="28"/>
      <c r="B826" s="29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 ht="15.75" customHeight="1">
      <c r="A827" s="28"/>
      <c r="B827" s="29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 ht="15.75" customHeight="1">
      <c r="A828" s="28"/>
      <c r="B828" s="29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 ht="15.75" customHeight="1">
      <c r="A829" s="28"/>
      <c r="B829" s="29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 ht="15.75" customHeight="1">
      <c r="A830" s="28"/>
      <c r="B830" s="29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 ht="15.75" customHeight="1">
      <c r="A831" s="28"/>
      <c r="B831" s="29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 ht="15.75" customHeight="1">
      <c r="A832" s="28"/>
      <c r="B832" s="29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 ht="15.75" customHeight="1">
      <c r="A833" s="28"/>
      <c r="B833" s="29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ht="15.75" customHeight="1">
      <c r="A834" s="28"/>
      <c r="B834" s="29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 ht="15.75" customHeight="1">
      <c r="A835" s="28"/>
      <c r="B835" s="29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 ht="15.75" customHeight="1">
      <c r="A836" s="28"/>
      <c r="B836" s="29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 ht="15.75" customHeight="1">
      <c r="A837" s="28"/>
      <c r="B837" s="29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 ht="15.75" customHeight="1">
      <c r="A838" s="28"/>
      <c r="B838" s="29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 ht="15.75" customHeight="1">
      <c r="A839" s="28"/>
      <c r="B839" s="29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 ht="15.75" customHeight="1">
      <c r="A840" s="28"/>
      <c r="B840" s="29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 ht="15.75" customHeight="1">
      <c r="A841" s="28"/>
      <c r="B841" s="29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 ht="15.75" customHeight="1">
      <c r="A842" s="28"/>
      <c r="B842" s="29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ht="15.75" customHeight="1">
      <c r="A843" s="28"/>
      <c r="B843" s="29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 ht="15.75" customHeight="1">
      <c r="A844" s="28"/>
      <c r="B844" s="29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 ht="15.75" customHeight="1">
      <c r="A845" s="28"/>
      <c r="B845" s="29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 ht="15.75" customHeight="1">
      <c r="A846" s="28"/>
      <c r="B846" s="29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 ht="15.75" customHeight="1">
      <c r="A847" s="28"/>
      <c r="B847" s="29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 ht="15.75" customHeight="1">
      <c r="A848" s="28"/>
      <c r="B848" s="29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 ht="15.75" customHeight="1">
      <c r="A849" s="28"/>
      <c r="B849" s="29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 ht="15.75" customHeight="1">
      <c r="A850" s="28"/>
      <c r="B850" s="29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 ht="15.75" customHeight="1">
      <c r="A851" s="28"/>
      <c r="B851" s="29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ht="15.75" customHeight="1">
      <c r="A852" s="28"/>
      <c r="B852" s="29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 ht="15.75" customHeight="1">
      <c r="A853" s="28"/>
      <c r="B853" s="29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 ht="15.75" customHeight="1">
      <c r="A854" s="28"/>
      <c r="B854" s="29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 ht="15.75" customHeight="1">
      <c r="A855" s="28"/>
      <c r="B855" s="29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 ht="15.75" customHeight="1">
      <c r="A856" s="28"/>
      <c r="B856" s="29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 ht="15.75" customHeight="1">
      <c r="A857" s="28"/>
      <c r="B857" s="29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 ht="15.75" customHeight="1">
      <c r="A858" s="28"/>
      <c r="B858" s="29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 ht="15.75" customHeight="1">
      <c r="A859" s="28"/>
      <c r="B859" s="29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 ht="15.75" customHeight="1">
      <c r="A860" s="28"/>
      <c r="B860" s="29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 ht="15.75" customHeight="1">
      <c r="A861" s="28"/>
      <c r="B861" s="29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ht="15.75" customHeight="1">
      <c r="A862" s="28"/>
      <c r="B862" s="29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 ht="15.75" customHeight="1">
      <c r="A863" s="28"/>
      <c r="B863" s="29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 ht="15.75" customHeight="1">
      <c r="A864" s="28"/>
      <c r="B864" s="29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 ht="15.75" customHeight="1">
      <c r="A865" s="28"/>
      <c r="B865" s="29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 ht="15.75" customHeight="1">
      <c r="A866" s="28"/>
      <c r="B866" s="29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 ht="15.75" customHeight="1">
      <c r="A867" s="28"/>
      <c r="B867" s="29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 ht="15.75" customHeight="1">
      <c r="A868" s="28"/>
      <c r="B868" s="29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 ht="15.75" customHeight="1">
      <c r="A869" s="28"/>
      <c r="B869" s="29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 ht="15.75" customHeight="1">
      <c r="A870" s="28"/>
      <c r="B870" s="29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ht="15.75" customHeight="1">
      <c r="A871" s="28"/>
      <c r="B871" s="29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 ht="15.75" customHeight="1">
      <c r="A872" s="28"/>
      <c r="B872" s="29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 ht="15.75" customHeight="1">
      <c r="A873" s="28"/>
      <c r="B873" s="29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 ht="15.75" customHeight="1">
      <c r="A874" s="28"/>
      <c r="B874" s="29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 ht="15.75" customHeight="1">
      <c r="A875" s="28"/>
      <c r="B875" s="29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 ht="15.75" customHeight="1">
      <c r="A876" s="28"/>
      <c r="B876" s="29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 ht="15.75" customHeight="1">
      <c r="A877" s="28"/>
      <c r="B877" s="29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 ht="15.75" customHeight="1">
      <c r="A878" s="28"/>
      <c r="B878" s="29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 ht="15.75" customHeight="1">
      <c r="A879" s="28"/>
      <c r="B879" s="29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 ht="15.75" customHeight="1">
      <c r="A880" s="28"/>
      <c r="B880" s="29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 ht="15.75" customHeight="1">
      <c r="A881" s="28"/>
      <c r="B881" s="29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 ht="15.75" customHeight="1">
      <c r="A882" s="28"/>
      <c r="B882" s="29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ht="15.75" customHeight="1">
      <c r="A883" s="28"/>
      <c r="B883" s="29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 ht="15.75" customHeight="1">
      <c r="A884" s="28"/>
      <c r="B884" s="29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 ht="15.75" customHeight="1">
      <c r="A885" s="28"/>
      <c r="B885" s="29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 ht="15.75" customHeight="1">
      <c r="A886" s="28"/>
      <c r="B886" s="29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 ht="15.75" customHeight="1">
      <c r="A887" s="28"/>
      <c r="B887" s="29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 ht="15.75" customHeight="1">
      <c r="A888" s="28"/>
      <c r="B888" s="29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 ht="15.75" customHeight="1">
      <c r="A889" s="28"/>
      <c r="B889" s="29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 ht="15.75" customHeight="1">
      <c r="A890" s="28"/>
      <c r="B890" s="29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 ht="15.75" customHeight="1">
      <c r="A891" s="28"/>
      <c r="B891" s="29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ht="15.75" customHeight="1">
      <c r="A892" s="28"/>
      <c r="B892" s="29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 ht="15.75" customHeight="1">
      <c r="A893" s="28"/>
      <c r="B893" s="29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 ht="15.75" customHeight="1">
      <c r="A894" s="28"/>
      <c r="B894" s="29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 ht="15.75" customHeight="1">
      <c r="A895" s="28"/>
      <c r="B895" s="29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 ht="15.75" customHeight="1">
      <c r="A896" s="28"/>
      <c r="B896" s="29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 ht="15.75" customHeight="1">
      <c r="A897" s="28"/>
      <c r="B897" s="29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 ht="15.75" customHeight="1">
      <c r="A898" s="28"/>
      <c r="B898" s="29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 ht="15.75" customHeight="1">
      <c r="A899" s="28"/>
      <c r="B899" s="29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 ht="15.75" customHeight="1">
      <c r="A900" s="28"/>
      <c r="B900" s="29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ht="15.75" customHeight="1">
      <c r="A901" s="28"/>
      <c r="B901" s="29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 ht="15.75" customHeight="1">
      <c r="A902" s="28"/>
      <c r="B902" s="29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 ht="15.75" customHeight="1">
      <c r="A903" s="28"/>
      <c r="B903" s="29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 ht="15.75" customHeight="1">
      <c r="A904" s="28"/>
      <c r="B904" s="29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 ht="15.75" customHeight="1">
      <c r="A905" s="28"/>
      <c r="B905" s="29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 ht="15.75" customHeight="1">
      <c r="A906" s="28"/>
      <c r="B906" s="29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 ht="15.75" customHeight="1">
      <c r="A907" s="28"/>
      <c r="B907" s="29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 ht="15.75" customHeight="1">
      <c r="A908" s="28"/>
      <c r="B908" s="29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 ht="15.75" customHeight="1">
      <c r="A909" s="28"/>
      <c r="B909" s="29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 ht="15.75" customHeight="1">
      <c r="A910" s="28"/>
      <c r="B910" s="29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 ht="15.75" customHeight="1">
      <c r="A911" s="28"/>
      <c r="B911" s="29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 ht="15.75" customHeight="1">
      <c r="A912" s="28"/>
      <c r="B912" s="29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 ht="15.75" customHeight="1">
      <c r="A913" s="28"/>
      <c r="B913" s="29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 ht="15.75" customHeight="1">
      <c r="A914" s="28"/>
      <c r="B914" s="29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ht="15.75" customHeight="1">
      <c r="A915" s="28"/>
      <c r="B915" s="29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 ht="15.75" customHeight="1">
      <c r="A916" s="28"/>
      <c r="B916" s="29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 ht="15.75" customHeight="1">
      <c r="A917" s="28"/>
      <c r="B917" s="29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 ht="15.75" customHeight="1">
      <c r="A918" s="28"/>
      <c r="B918" s="29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 ht="15.75" customHeight="1">
      <c r="A919" s="28"/>
      <c r="B919" s="29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 ht="15.75" customHeight="1">
      <c r="A920" s="28"/>
      <c r="B920" s="29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 ht="15.75" customHeight="1">
      <c r="A921" s="28"/>
      <c r="B921" s="29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 ht="15.75" customHeight="1">
      <c r="A922" s="28"/>
      <c r="B922" s="29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 ht="15.75" customHeight="1">
      <c r="A923" s="28"/>
      <c r="B923" s="29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 ht="15.75" customHeight="1">
      <c r="A924" s="28"/>
      <c r="B924" s="29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 ht="15.75" customHeight="1">
      <c r="A925" s="28"/>
      <c r="B925" s="29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 ht="15.75" customHeight="1">
      <c r="A926" s="28"/>
      <c r="B926" s="29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 ht="15.75" customHeight="1">
      <c r="A927" s="28"/>
      <c r="B927" s="29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 ht="15.75" customHeight="1">
      <c r="A928" s="28"/>
      <c r="B928" s="29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 ht="15.75" customHeight="1">
      <c r="A929" s="28"/>
      <c r="B929" s="29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 ht="15.75" customHeight="1">
      <c r="A930" s="28"/>
      <c r="B930" s="29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 ht="15.75" customHeight="1">
      <c r="A931" s="28"/>
      <c r="B931" s="29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 ht="15.75" customHeight="1">
      <c r="A932" s="28"/>
      <c r="B932" s="29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 ht="15.75" customHeight="1">
      <c r="A933" s="28"/>
      <c r="B933" s="29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 ht="15.75" customHeight="1">
      <c r="A934" s="28"/>
      <c r="B934" s="29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 ht="15.75" customHeight="1">
      <c r="A935" s="28"/>
      <c r="B935" s="29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 ht="15.75" customHeight="1">
      <c r="A936" s="28"/>
      <c r="B936" s="29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 ht="15.75" customHeight="1">
      <c r="A937" s="28"/>
      <c r="B937" s="29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 ht="15.75" customHeight="1">
      <c r="A938" s="28"/>
      <c r="B938" s="29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 ht="15.75" customHeight="1">
      <c r="A939" s="28"/>
      <c r="B939" s="29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 ht="15.75" customHeight="1">
      <c r="A940" s="28"/>
      <c r="B940" s="29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 ht="15.75" customHeight="1">
      <c r="A941" s="28"/>
      <c r="B941" s="29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 ht="15.75" customHeight="1">
      <c r="A942" s="28"/>
      <c r="B942" s="29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 ht="15.75" customHeight="1">
      <c r="A943" s="28"/>
      <c r="B943" s="29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 ht="15.75" customHeight="1">
      <c r="A944" s="28"/>
      <c r="B944" s="29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 ht="15.75" customHeight="1">
      <c r="A945" s="28"/>
      <c r="B945" s="29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 ht="15.75" customHeight="1">
      <c r="A946" s="28"/>
      <c r="B946" s="29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 ht="15.75" customHeight="1">
      <c r="A947" s="28"/>
      <c r="B947" s="29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 ht="15.75" customHeight="1">
      <c r="A948" s="28"/>
      <c r="B948" s="29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 ht="15.75" customHeight="1">
      <c r="A949" s="28"/>
      <c r="B949" s="29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 ht="15.75" customHeight="1">
      <c r="A950" s="28"/>
      <c r="B950" s="29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 ht="15.75" customHeight="1">
      <c r="A951" s="28"/>
      <c r="B951" s="29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 ht="15.75" customHeight="1">
      <c r="A952" s="28"/>
      <c r="B952" s="29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 ht="15.75" customHeight="1">
      <c r="A953" s="28"/>
      <c r="B953" s="29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 ht="15.75" customHeight="1">
      <c r="A954" s="28"/>
      <c r="B954" s="29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 ht="15.75" customHeight="1">
      <c r="A955" s="28"/>
      <c r="B955" s="29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 ht="15.75" customHeight="1">
      <c r="A956" s="28"/>
      <c r="B956" s="29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 ht="15.75" customHeight="1">
      <c r="A957" s="28"/>
      <c r="B957" s="29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 ht="15.75" customHeight="1">
      <c r="A958" s="28"/>
      <c r="B958" s="29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 ht="15.75" customHeight="1">
      <c r="A959" s="28"/>
      <c r="B959" s="29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 ht="15.75" customHeight="1">
      <c r="A960" s="28"/>
      <c r="B960" s="29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 ht="15.75" customHeight="1">
      <c r="A961" s="28"/>
      <c r="B961" s="29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 ht="15.75" customHeight="1">
      <c r="A962" s="28"/>
      <c r="B962" s="29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 ht="15.75" customHeight="1">
      <c r="A963" s="28"/>
      <c r="B963" s="29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 ht="15.75" customHeight="1">
      <c r="A964" s="28"/>
      <c r="B964" s="29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 ht="15.75" customHeight="1">
      <c r="A965" s="28"/>
      <c r="B965" s="29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 ht="15.75" customHeight="1">
      <c r="A966" s="28"/>
      <c r="B966" s="29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 ht="15.75" customHeight="1">
      <c r="A967" s="28"/>
      <c r="B967" s="29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 ht="15.75" customHeight="1">
      <c r="A968" s="28"/>
      <c r="B968" s="29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 ht="15.75" customHeight="1">
      <c r="A969" s="28"/>
      <c r="B969" s="29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 ht="15.75" customHeight="1">
      <c r="A970" s="28"/>
      <c r="B970" s="29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 ht="15.75" customHeight="1">
      <c r="A971" s="28"/>
      <c r="B971" s="29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 ht="15.75" customHeight="1">
      <c r="A972" s="28"/>
      <c r="B972" s="29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 ht="15.75" customHeight="1">
      <c r="A973" s="28"/>
      <c r="B973" s="29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 ht="15.75" customHeight="1">
      <c r="A974" s="28"/>
      <c r="B974" s="29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 ht="15.75" customHeight="1">
      <c r="A975" s="28"/>
      <c r="B975" s="29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 ht="15.75" customHeight="1">
      <c r="A976" s="28"/>
      <c r="B976" s="29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 ht="15.75" customHeight="1">
      <c r="A977" s="28"/>
      <c r="B977" s="29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 ht="15.75" customHeight="1">
      <c r="A978" s="28"/>
      <c r="B978" s="29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 ht="15.75" customHeight="1">
      <c r="A979" s="28"/>
      <c r="B979" s="29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 ht="15.75" customHeight="1">
      <c r="A980" s="28"/>
      <c r="B980" s="29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  <row r="981" ht="15.75" customHeight="1">
      <c r="A981" s="28"/>
      <c r="B981" s="29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</row>
    <row r="982" ht="15.75" customHeight="1">
      <c r="A982" s="28"/>
      <c r="B982" s="29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 ht="15.75" customHeight="1">
      <c r="A983" s="28"/>
      <c r="B983" s="29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</row>
    <row r="984" ht="15.75" customHeight="1">
      <c r="A984" s="28"/>
      <c r="B984" s="29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</row>
    <row r="985" ht="15.75" customHeight="1">
      <c r="A985" s="28"/>
      <c r="B985" s="29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</row>
    <row r="986" ht="15.75" customHeight="1">
      <c r="A986" s="28"/>
      <c r="B986" s="29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</row>
    <row r="987" ht="15.75" customHeight="1">
      <c r="A987" s="28"/>
      <c r="B987" s="29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</row>
    <row r="988" ht="15.75" customHeight="1">
      <c r="A988" s="28"/>
      <c r="B988" s="29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</row>
    <row r="989" ht="15.75" customHeight="1">
      <c r="A989" s="28"/>
      <c r="B989" s="29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</row>
  </sheetData>
  <mergeCells count="6">
    <mergeCell ref="A1:D1"/>
    <mergeCell ref="A2:D2"/>
    <mergeCell ref="A3:D3"/>
    <mergeCell ref="A4:A5"/>
    <mergeCell ref="B4:B5"/>
    <mergeCell ref="C4:D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25"/>
    <col customWidth="1" min="2" max="2" width="17.25"/>
    <col customWidth="1" min="3" max="3" width="7.38"/>
    <col customWidth="1" min="4" max="4" width="8.0"/>
    <col customWidth="1" min="5" max="5" width="7.88"/>
    <col customWidth="1" min="6" max="6" width="8.5"/>
    <col customWidth="1" min="7" max="7" width="5.13"/>
    <col customWidth="1" min="8" max="8" width="7.0"/>
    <col customWidth="1" min="9" max="9" width="6.25"/>
    <col customWidth="1" min="10" max="10" width="4.88"/>
    <col customWidth="1" min="11" max="11" width="7.63"/>
    <col customWidth="1" min="12" max="12" width="4.0"/>
    <col customWidth="1" min="13" max="13" width="6.5"/>
    <col customWidth="1" min="14" max="14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N2" s="5"/>
    </row>
    <row r="3">
      <c r="A3" s="6" t="s">
        <v>60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>
      <c r="A4" s="20" t="s">
        <v>3</v>
      </c>
      <c r="B4" s="21" t="s">
        <v>4</v>
      </c>
      <c r="C4" s="22" t="s">
        <v>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</row>
    <row r="5">
      <c r="A5" s="12"/>
      <c r="B5" s="12"/>
      <c r="C5" s="14" t="s">
        <v>44</v>
      </c>
      <c r="D5" s="14" t="s">
        <v>45</v>
      </c>
      <c r="E5" s="14" t="s">
        <v>46</v>
      </c>
      <c r="F5" s="14" t="s">
        <v>47</v>
      </c>
      <c r="G5" s="14" t="s">
        <v>8</v>
      </c>
      <c r="H5" s="13" t="s">
        <v>9</v>
      </c>
      <c r="I5" s="14" t="s">
        <v>10</v>
      </c>
      <c r="J5" s="14" t="s">
        <v>48</v>
      </c>
      <c r="K5" s="14" t="s">
        <v>11</v>
      </c>
      <c r="L5" s="14" t="s">
        <v>49</v>
      </c>
      <c r="M5" s="14" t="s">
        <v>12</v>
      </c>
      <c r="N5" s="14" t="s">
        <v>13</v>
      </c>
    </row>
    <row r="6">
      <c r="A6" s="15">
        <v>1.0</v>
      </c>
      <c r="B6" s="16" t="s">
        <v>61</v>
      </c>
      <c r="C6" s="15">
        <v>30.0</v>
      </c>
      <c r="D6" s="15"/>
      <c r="E6" s="15">
        <v>30.0</v>
      </c>
      <c r="F6" s="15"/>
      <c r="G6" s="15">
        <v>30.0</v>
      </c>
      <c r="H6" s="15">
        <v>30.0</v>
      </c>
      <c r="I6" s="15">
        <v>30.0</v>
      </c>
      <c r="J6" s="15">
        <v>27.0</v>
      </c>
      <c r="K6" s="15">
        <v>30.0</v>
      </c>
      <c r="L6" s="15">
        <v>20.0</v>
      </c>
      <c r="M6" s="15">
        <f t="shared" ref="M6:M11" si="1">SUM(C6:L6)</f>
        <v>227</v>
      </c>
      <c r="N6" s="15">
        <f t="shared" ref="N6:N11" si="2">RANK(M6,$M$6:$M$11)</f>
        <v>1</v>
      </c>
    </row>
    <row r="7">
      <c r="A7" s="15">
        <v>2.0</v>
      </c>
      <c r="B7" s="16" t="s">
        <v>62</v>
      </c>
      <c r="C7" s="15">
        <v>25.0</v>
      </c>
      <c r="D7" s="15"/>
      <c r="E7" s="15">
        <v>27.0</v>
      </c>
      <c r="F7" s="15"/>
      <c r="G7" s="15">
        <v>30.0</v>
      </c>
      <c r="H7" s="15">
        <v>28.0</v>
      </c>
      <c r="I7" s="15">
        <v>23.0</v>
      </c>
      <c r="J7" s="15">
        <v>27.0</v>
      </c>
      <c r="K7" s="15">
        <v>24.0</v>
      </c>
      <c r="L7" s="15">
        <v>19.0</v>
      </c>
      <c r="M7" s="15">
        <f t="shared" si="1"/>
        <v>203</v>
      </c>
      <c r="N7" s="15">
        <f t="shared" si="2"/>
        <v>2</v>
      </c>
    </row>
    <row r="8">
      <c r="A8" s="15">
        <v>3.0</v>
      </c>
      <c r="B8" s="16" t="s">
        <v>63</v>
      </c>
      <c r="C8" s="15">
        <v>10.0</v>
      </c>
      <c r="D8" s="15"/>
      <c r="E8" s="15">
        <v>10.0</v>
      </c>
      <c r="F8" s="15"/>
      <c r="G8" s="15">
        <v>10.0</v>
      </c>
      <c r="H8" s="15">
        <v>10.0</v>
      </c>
      <c r="I8" s="15">
        <v>10.0</v>
      </c>
      <c r="J8" s="15">
        <v>11.0</v>
      </c>
      <c r="K8" s="15">
        <v>10.0</v>
      </c>
      <c r="L8" s="15">
        <v>8.0</v>
      </c>
      <c r="M8" s="15">
        <f t="shared" si="1"/>
        <v>79</v>
      </c>
      <c r="N8" s="15">
        <f t="shared" si="2"/>
        <v>4</v>
      </c>
    </row>
    <row r="9">
      <c r="A9" s="15">
        <v>4.0</v>
      </c>
      <c r="B9" s="16" t="s">
        <v>64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>
        <f t="shared" si="1"/>
        <v>0</v>
      </c>
      <c r="N9" s="15">
        <f t="shared" si="2"/>
        <v>6</v>
      </c>
    </row>
    <row r="10">
      <c r="A10" s="15">
        <v>5.0</v>
      </c>
      <c r="B10" s="16" t="s">
        <v>65</v>
      </c>
      <c r="C10" s="15">
        <v>10.0</v>
      </c>
      <c r="D10" s="15"/>
      <c r="E10" s="15">
        <v>10.0</v>
      </c>
      <c r="F10" s="15"/>
      <c r="G10" s="15"/>
      <c r="H10" s="15"/>
      <c r="I10" s="15">
        <v>10.0</v>
      </c>
      <c r="J10" s="15">
        <v>13.0</v>
      </c>
      <c r="K10" s="15">
        <v>10.0</v>
      </c>
      <c r="L10" s="15">
        <v>12.0</v>
      </c>
      <c r="M10" s="15">
        <f t="shared" si="1"/>
        <v>65</v>
      </c>
      <c r="N10" s="15">
        <f t="shared" si="2"/>
        <v>5</v>
      </c>
    </row>
    <row r="11">
      <c r="A11" s="15">
        <v>6.0</v>
      </c>
      <c r="B11" s="16" t="s">
        <v>66</v>
      </c>
      <c r="C11" s="15">
        <v>13.0</v>
      </c>
      <c r="D11" s="15"/>
      <c r="E11" s="15">
        <v>27.0</v>
      </c>
      <c r="F11" s="15"/>
      <c r="G11" s="15">
        <v>20.0</v>
      </c>
      <c r="H11" s="15">
        <v>22.0</v>
      </c>
      <c r="I11" s="15">
        <v>13.0</v>
      </c>
      <c r="J11" s="15">
        <v>21.0</v>
      </c>
      <c r="K11" s="15">
        <v>14.0</v>
      </c>
      <c r="L11" s="15">
        <v>15.0</v>
      </c>
      <c r="M11" s="15">
        <f t="shared" si="1"/>
        <v>145</v>
      </c>
      <c r="N11" s="15">
        <f t="shared" si="2"/>
        <v>3</v>
      </c>
    </row>
  </sheetData>
  <mergeCells count="6">
    <mergeCell ref="A1:N1"/>
    <mergeCell ref="A2:N2"/>
    <mergeCell ref="A3:N3"/>
    <mergeCell ref="A4:A5"/>
    <mergeCell ref="B4:B5"/>
    <mergeCell ref="C4:N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.75"/>
    <col customWidth="1" min="2" max="2" width="17.5"/>
    <col customWidth="1" min="3" max="3" width="7.63"/>
    <col customWidth="1" min="4" max="4" width="6.88"/>
    <col customWidth="1" min="5" max="5" width="8.5"/>
    <col customWidth="1" min="6" max="6" width="8.38"/>
    <col customWidth="1" min="7" max="8" width="6.13"/>
    <col customWidth="1" min="9" max="9" width="5.63"/>
    <col customWidth="1" min="10" max="10" width="6.25"/>
    <col customWidth="1" min="11" max="11" width="7.63"/>
    <col customWidth="1" min="12" max="12" width="4.75"/>
    <col customWidth="1" min="13" max="13" width="5.88"/>
    <col customWidth="1" min="14" max="14" width="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30</v>
      </c>
      <c r="N2" s="5"/>
    </row>
    <row r="3">
      <c r="A3" s="6" t="s">
        <v>60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>
      <c r="A4" s="20" t="s">
        <v>3</v>
      </c>
      <c r="B4" s="21" t="s">
        <v>4</v>
      </c>
      <c r="C4" s="22" t="s">
        <v>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</row>
    <row r="5">
      <c r="A5" s="12"/>
      <c r="B5" s="12"/>
      <c r="C5" s="14" t="s">
        <v>44</v>
      </c>
      <c r="D5" s="14" t="s">
        <v>45</v>
      </c>
      <c r="E5" s="14" t="s">
        <v>46</v>
      </c>
      <c r="F5" s="14" t="s">
        <v>47</v>
      </c>
      <c r="G5" s="14" t="s">
        <v>8</v>
      </c>
      <c r="H5" s="13" t="s">
        <v>9</v>
      </c>
      <c r="I5" s="14" t="s">
        <v>10</v>
      </c>
      <c r="J5" s="14" t="s">
        <v>48</v>
      </c>
      <c r="K5" s="14" t="s">
        <v>11</v>
      </c>
      <c r="L5" s="14" t="s">
        <v>49</v>
      </c>
      <c r="M5" s="14" t="s">
        <v>12</v>
      </c>
      <c r="N5" s="14" t="s">
        <v>13</v>
      </c>
    </row>
    <row r="6">
      <c r="A6" s="15">
        <v>1.0</v>
      </c>
      <c r="B6" s="16" t="s">
        <v>61</v>
      </c>
      <c r="C6" s="15">
        <v>62.0</v>
      </c>
      <c r="D6" s="15">
        <v>35.0</v>
      </c>
      <c r="E6" s="15"/>
      <c r="F6" s="15">
        <v>45.0</v>
      </c>
      <c r="G6" s="15">
        <v>66.0</v>
      </c>
      <c r="H6" s="15">
        <v>52.0</v>
      </c>
      <c r="I6" s="15">
        <v>56.0</v>
      </c>
      <c r="J6" s="15">
        <v>56.0</v>
      </c>
      <c r="K6" s="15">
        <v>64.0</v>
      </c>
      <c r="L6" s="15">
        <v>20.0</v>
      </c>
      <c r="M6" s="15">
        <f t="shared" ref="M6:M11" si="1">SUM(C6:L6)</f>
        <v>456</v>
      </c>
      <c r="N6" s="15">
        <f t="shared" ref="N6:N11" si="2">RANK(M6,$M$6:$M$11)</f>
        <v>1</v>
      </c>
    </row>
    <row r="7">
      <c r="A7" s="15">
        <v>2.0</v>
      </c>
      <c r="B7" s="16" t="s">
        <v>62</v>
      </c>
      <c r="C7" s="15">
        <v>45.0</v>
      </c>
      <c r="D7" s="15">
        <v>22.0</v>
      </c>
      <c r="E7" s="15">
        <v>50.0</v>
      </c>
      <c r="F7" s="15">
        <v>35.0</v>
      </c>
      <c r="G7" s="15">
        <v>60.0</v>
      </c>
      <c r="H7" s="15">
        <v>40.0</v>
      </c>
      <c r="I7" s="15">
        <v>46.0</v>
      </c>
      <c r="J7" s="15">
        <v>53.0</v>
      </c>
      <c r="K7" s="15">
        <v>50.0</v>
      </c>
      <c r="L7" s="15">
        <v>19.0</v>
      </c>
      <c r="M7" s="15">
        <f t="shared" si="1"/>
        <v>420</v>
      </c>
      <c r="N7" s="15">
        <f t="shared" si="2"/>
        <v>2</v>
      </c>
    </row>
    <row r="8">
      <c r="A8" s="15">
        <v>3.0</v>
      </c>
      <c r="B8" s="16" t="s">
        <v>63</v>
      </c>
      <c r="C8" s="15">
        <v>24.0</v>
      </c>
      <c r="D8" s="15">
        <v>17.0</v>
      </c>
      <c r="E8" s="15">
        <v>25.0</v>
      </c>
      <c r="F8" s="15">
        <v>25.0</v>
      </c>
      <c r="G8" s="15">
        <v>24.0</v>
      </c>
      <c r="H8" s="15">
        <v>24.0</v>
      </c>
      <c r="I8" s="15">
        <v>28.0</v>
      </c>
      <c r="J8" s="15">
        <v>24.0</v>
      </c>
      <c r="K8" s="15">
        <v>26.0</v>
      </c>
      <c r="L8" s="15">
        <v>8.0</v>
      </c>
      <c r="M8" s="15">
        <f t="shared" si="1"/>
        <v>225</v>
      </c>
      <c r="N8" s="15">
        <f t="shared" si="2"/>
        <v>4</v>
      </c>
    </row>
    <row r="9">
      <c r="A9" s="15">
        <v>4.0</v>
      </c>
      <c r="B9" s="16" t="s">
        <v>64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>
        <f t="shared" si="1"/>
        <v>0</v>
      </c>
      <c r="N9" s="15">
        <f t="shared" si="2"/>
        <v>6</v>
      </c>
    </row>
    <row r="10">
      <c r="A10" s="15">
        <v>5.0</v>
      </c>
      <c r="B10" s="16" t="s">
        <v>65</v>
      </c>
      <c r="C10" s="15">
        <v>24.0</v>
      </c>
      <c r="D10" s="15">
        <v>17.0</v>
      </c>
      <c r="E10" s="15">
        <v>25.0</v>
      </c>
      <c r="F10" s="15">
        <v>25.0</v>
      </c>
      <c r="G10" s="15">
        <v>24.0</v>
      </c>
      <c r="H10" s="15">
        <v>24.0</v>
      </c>
      <c r="I10" s="15">
        <v>24.0</v>
      </c>
      <c r="J10" s="15">
        <v>24.0</v>
      </c>
      <c r="K10" s="15">
        <v>26.0</v>
      </c>
      <c r="L10" s="15">
        <v>12.0</v>
      </c>
      <c r="M10" s="15">
        <f t="shared" si="1"/>
        <v>225</v>
      </c>
      <c r="N10" s="15">
        <f t="shared" si="2"/>
        <v>4</v>
      </c>
    </row>
    <row r="11">
      <c r="A11" s="15">
        <v>6.0</v>
      </c>
      <c r="B11" s="16" t="s">
        <v>66</v>
      </c>
      <c r="C11" s="15">
        <v>36.0</v>
      </c>
      <c r="D11" s="15">
        <v>18.0</v>
      </c>
      <c r="E11" s="15">
        <v>30.0</v>
      </c>
      <c r="F11" s="15">
        <v>33.0</v>
      </c>
      <c r="G11" s="15">
        <v>62.0</v>
      </c>
      <c r="H11" s="15">
        <v>31.0</v>
      </c>
      <c r="I11" s="15">
        <v>32.0</v>
      </c>
      <c r="J11" s="15">
        <v>43.0</v>
      </c>
      <c r="K11" s="15">
        <v>33.0</v>
      </c>
      <c r="L11" s="15">
        <v>15.0</v>
      </c>
      <c r="M11" s="15">
        <f t="shared" si="1"/>
        <v>333</v>
      </c>
      <c r="N11" s="15">
        <f t="shared" si="2"/>
        <v>3</v>
      </c>
    </row>
  </sheetData>
  <mergeCells count="6">
    <mergeCell ref="A1:N1"/>
    <mergeCell ref="A2:N2"/>
    <mergeCell ref="A3:N3"/>
    <mergeCell ref="A4:A5"/>
    <mergeCell ref="B4:B5"/>
    <mergeCell ref="C4:N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</cols>
  <sheetData>
    <row r="1">
      <c r="A1" s="30" t="s">
        <v>3</v>
      </c>
      <c r="B1" s="31" t="s">
        <v>31</v>
      </c>
      <c r="C1" s="42" t="str">
        <f>'7s'!B6</f>
        <v>RAFIYA AKTER</v>
      </c>
      <c r="D1" s="23"/>
      <c r="E1" s="23"/>
      <c r="F1" s="23"/>
      <c r="G1" s="23"/>
      <c r="H1" s="24"/>
    </row>
    <row r="2">
      <c r="A2" s="47">
        <v>1.0</v>
      </c>
      <c r="B2" s="35" t="s">
        <v>32</v>
      </c>
      <c r="C2" s="36" t="s">
        <v>33</v>
      </c>
      <c r="D2" s="36" t="s">
        <v>34</v>
      </c>
      <c r="E2" s="35" t="s">
        <v>35</v>
      </c>
      <c r="F2" s="36" t="s">
        <v>36</v>
      </c>
      <c r="G2" s="36" t="s">
        <v>37</v>
      </c>
      <c r="H2" s="36" t="s">
        <v>38</v>
      </c>
    </row>
    <row r="3">
      <c r="A3" s="5"/>
      <c r="B3" s="37" t="s">
        <v>44</v>
      </c>
      <c r="C3" s="37">
        <f>'7t'!C6</f>
        <v>30</v>
      </c>
      <c r="D3" s="37">
        <f>'7s'!C6</f>
        <v>62</v>
      </c>
      <c r="E3" s="38">
        <f t="shared" ref="E3:E12" si="1">SUM(C3:D3)</f>
        <v>92</v>
      </c>
      <c r="F3" s="38" t="str">
        <f>IF(E3&gt;=80,"A+",
IF(E3&gt;=70,"A",
IF(E3&gt;=60,"A-",
IF(E3&gt;=50,"B",
IF(E3&gt;=40,"C",
IF(E3&gt;=33,"D","F"))))))
</f>
        <v>A+</v>
      </c>
      <c r="G3" s="38">
        <f>IF(E3&gt;=80,5,
IF(E3&gt;=70,4,
IF(E3&gt;=60,3.5,
IF(E3&gt;=50,3,
IF(E3&gt;=40,2,
IF(E3&gt;=33,1,0))))))</f>
        <v>5</v>
      </c>
      <c r="H3" s="40">
        <f>AVERAGE(
VALUE(G3),
VALUE(G4),
VALUE(G5),
VALUE(G6),
VALUE(G7),
VALUE(G8),
VALUE(G9),
VALUE(G10),
VALUE(G11),
VALUE(G12))</f>
        <v>4.4</v>
      </c>
    </row>
    <row r="4">
      <c r="A4" s="5"/>
      <c r="B4" s="37" t="s">
        <v>45</v>
      </c>
      <c r="C4" s="37" t="str">
        <f>'7t'!D6</f>
        <v/>
      </c>
      <c r="D4" s="37">
        <f>'7s'!D6</f>
        <v>35</v>
      </c>
      <c r="E4" s="38">
        <f t="shared" si="1"/>
        <v>35</v>
      </c>
      <c r="F4" s="38" t="str">
        <f>IF(E4&gt;=40,"A+",
IF(E4&gt;=35,"A",
IF(E4&gt;=30,"A-",
IF(E4&gt;=25,"B",
IF(E4&gt;=20,"C",
IF(E4&gt;=16,"D","F"))))))
</f>
        <v>A</v>
      </c>
      <c r="G4" s="38">
        <f>IF(E4&gt;=40,5,
IF(E4&gt;=35,4,
IF(E4&gt;=30,3.5,
IF(E4&gt;=25,3,
IF(E4&gt;=20,2,
IF(E4&gt;=16,1,0))))))</f>
        <v>4</v>
      </c>
      <c r="H4" s="41"/>
    </row>
    <row r="5">
      <c r="A5" s="5"/>
      <c r="B5" s="37" t="s">
        <v>57</v>
      </c>
      <c r="C5" s="37">
        <f>'7t'!E6</f>
        <v>30</v>
      </c>
      <c r="D5" s="37" t="str">
        <f>'7s'!E6</f>
        <v/>
      </c>
      <c r="E5" s="38">
        <f t="shared" si="1"/>
        <v>30</v>
      </c>
      <c r="F5" s="38" t="str">
        <f>IF(E5&gt;=80,"A+",
IF(E5&gt;=70,"A",
IF(E5&gt;=60,"A-",
IF(E5&gt;=50,"B",
IF(E5&gt;=40,"C",
IF(E5&gt;=33,"D","F"))))))
</f>
        <v>F</v>
      </c>
      <c r="G5" s="38">
        <f>IF(E5&gt;=80,5,
IF(E5&gt;=70,4,
IF(E5&gt;=60,3.5,
IF(E5&gt;=50,3,
IF(E5&gt;=40,2,
IF(E5&gt;=33,1,0))))))</f>
        <v>0</v>
      </c>
      <c r="H5" s="41"/>
    </row>
    <row r="6">
      <c r="A6" s="5"/>
      <c r="B6" s="37" t="s">
        <v>58</v>
      </c>
      <c r="C6" s="37" t="str">
        <f>'7t'!F6</f>
        <v/>
      </c>
      <c r="D6" s="37">
        <f>'7s'!F6</f>
        <v>45</v>
      </c>
      <c r="E6" s="38">
        <f t="shared" si="1"/>
        <v>45</v>
      </c>
      <c r="F6" s="38" t="str">
        <f>IF(E6&gt;=40,"A+",
IF(E6&gt;=35,"A",
IF(E6&gt;=30,"A-",
IF(E6&gt;=25,"B",
IF(E6&gt;=20,"C",
IF(E6&gt;=16,"D","F"))))))
</f>
        <v>A+</v>
      </c>
      <c r="G6" s="38">
        <f>IF(E6&gt;=40,5,
IF(E6&gt;=35,4,
IF(E6&gt;=30,3.5,
IF(E6&gt;=25,3,
IF(E6&gt;=20,2,
IF(E6&gt;=16,1,0))))))</f>
        <v>5</v>
      </c>
      <c r="H6" s="41"/>
    </row>
    <row r="7">
      <c r="A7" s="5"/>
      <c r="B7" s="38" t="s">
        <v>40</v>
      </c>
      <c r="C7" s="37">
        <f>'7t'!G6</f>
        <v>30</v>
      </c>
      <c r="D7" s="37">
        <f>'7s'!G6</f>
        <v>66</v>
      </c>
      <c r="E7" s="38">
        <f t="shared" si="1"/>
        <v>96</v>
      </c>
      <c r="F7" s="38" t="str">
        <f t="shared" ref="F7:F11" si="2">IF(E7&gt;=80,"A+",
IF(E7&gt;=70,"A",
IF(E7&gt;=60,"A-",
IF(E7&gt;=50,"B",
IF(E7&gt;=40,"C",
IF(E7&gt;=33,"D","F"))))))
</f>
        <v>A+</v>
      </c>
      <c r="G7" s="38">
        <f t="shared" ref="G7:G11" si="3">IF(E7&gt;=80,5,
IF(E7&gt;=70,4,
IF(E7&gt;=60,3.5,
IF(E7&gt;=50,3,
IF(E7&gt;=40,2,
IF(E7&gt;=33,1,0))))))</f>
        <v>5</v>
      </c>
      <c r="H7" s="41"/>
    </row>
    <row r="8">
      <c r="A8" s="5"/>
      <c r="B8" s="38" t="s">
        <v>41</v>
      </c>
      <c r="C8" s="38">
        <f>'7t'!H6</f>
        <v>30</v>
      </c>
      <c r="D8" s="38">
        <f>'7s'!H6</f>
        <v>52</v>
      </c>
      <c r="E8" s="38">
        <f t="shared" si="1"/>
        <v>82</v>
      </c>
      <c r="F8" s="38" t="str">
        <f t="shared" si="2"/>
        <v>A+</v>
      </c>
      <c r="G8" s="38">
        <f t="shared" si="3"/>
        <v>5</v>
      </c>
      <c r="H8" s="41"/>
    </row>
    <row r="9">
      <c r="A9" s="5"/>
      <c r="B9" s="38" t="s">
        <v>10</v>
      </c>
      <c r="C9" s="38">
        <f>'7t'!I6</f>
        <v>30</v>
      </c>
      <c r="D9" s="38">
        <f>'7s'!I6</f>
        <v>56</v>
      </c>
      <c r="E9" s="38">
        <f t="shared" si="1"/>
        <v>86</v>
      </c>
      <c r="F9" s="38" t="str">
        <f t="shared" si="2"/>
        <v>A+</v>
      </c>
      <c r="G9" s="38">
        <f t="shared" si="3"/>
        <v>5</v>
      </c>
      <c r="H9" s="41"/>
    </row>
    <row r="10">
      <c r="A10" s="5"/>
      <c r="B10" s="37" t="s">
        <v>48</v>
      </c>
      <c r="C10" s="38">
        <f>'7t'!J6</f>
        <v>27</v>
      </c>
      <c r="D10" s="38">
        <f>'7s'!J6</f>
        <v>56</v>
      </c>
      <c r="E10" s="38">
        <f t="shared" si="1"/>
        <v>83</v>
      </c>
      <c r="F10" s="38" t="str">
        <f t="shared" si="2"/>
        <v>A+</v>
      </c>
      <c r="G10" s="38">
        <f t="shared" si="3"/>
        <v>5</v>
      </c>
      <c r="H10" s="41"/>
    </row>
    <row r="11">
      <c r="A11" s="5"/>
      <c r="B11" s="38" t="s">
        <v>11</v>
      </c>
      <c r="C11" s="38">
        <f>'7t'!K6</f>
        <v>30</v>
      </c>
      <c r="D11" s="38">
        <f>'7s'!K6</f>
        <v>64</v>
      </c>
      <c r="E11" s="38">
        <f t="shared" si="1"/>
        <v>94</v>
      </c>
      <c r="F11" s="38" t="str">
        <f t="shared" si="2"/>
        <v>A+</v>
      </c>
      <c r="G11" s="38">
        <f t="shared" si="3"/>
        <v>5</v>
      </c>
      <c r="H11" s="41"/>
    </row>
    <row r="12">
      <c r="A12" s="8"/>
      <c r="B12" s="37" t="s">
        <v>49</v>
      </c>
      <c r="C12" s="38">
        <f>'7t'!L6</f>
        <v>20</v>
      </c>
      <c r="D12" s="38">
        <f>'7s'!L6</f>
        <v>20</v>
      </c>
      <c r="E12" s="38">
        <f t="shared" si="1"/>
        <v>40</v>
      </c>
      <c r="F12" s="38" t="str">
        <f>IF(E12&gt;=40,"A+",
IF(E12&gt;=35,"A",
IF(E12&gt;=30,"A-",
IF(E12&gt;=25,"B",
IF(E12&gt;=20,"C",
IF(E12&gt;=16,"D","F"))))))
</f>
        <v>A+</v>
      </c>
      <c r="G12" s="38">
        <f>IF(E12&gt;=40,5,
IF(E12&gt;=35,4,
IF(E12&gt;=30,3.5,
IF(E12&gt;=25,3,
IF(E12&gt;=20,2,
IF(E12&gt;=16,1,0))))))</f>
        <v>5</v>
      </c>
      <c r="H12" s="12"/>
    </row>
    <row r="13">
      <c r="A13" s="30" t="s">
        <v>3</v>
      </c>
      <c r="B13" s="31" t="s">
        <v>31</v>
      </c>
      <c r="C13" s="42" t="str">
        <f>'7s'!B7</f>
        <v>MASUMA AKTER</v>
      </c>
      <c r="D13" s="23"/>
      <c r="E13" s="23"/>
      <c r="F13" s="23"/>
      <c r="G13" s="23"/>
      <c r="H13" s="24"/>
    </row>
    <row r="14">
      <c r="A14" s="47">
        <v>2.0</v>
      </c>
      <c r="B14" s="35" t="s">
        <v>32</v>
      </c>
      <c r="C14" s="36" t="str">
        <f>'7'!C2</f>
        <v>3rd Tutorial
Exam (30)</v>
      </c>
      <c r="D14" s="36" t="str">
        <f>'7'!D2</f>
        <v>3rd Semester
Exam (70)</v>
      </c>
      <c r="E14" s="35" t="s">
        <v>35</v>
      </c>
      <c r="F14" s="36" t="s">
        <v>36</v>
      </c>
      <c r="G14" s="36" t="s">
        <v>37</v>
      </c>
      <c r="H14" s="36" t="s">
        <v>38</v>
      </c>
    </row>
    <row r="15">
      <c r="A15" s="5"/>
      <c r="B15" s="37" t="s">
        <v>44</v>
      </c>
      <c r="C15" s="37">
        <f>'7t'!C7</f>
        <v>25</v>
      </c>
      <c r="D15" s="37">
        <f>'7s'!C7</f>
        <v>45</v>
      </c>
      <c r="E15" s="38">
        <f t="shared" ref="E15:E24" si="4">SUM(C15:D15)</f>
        <v>70</v>
      </c>
      <c r="F15" s="38" t="str">
        <f>IF(E15&gt;=80,"A+",
IF(E15&gt;=70,"A",
IF(E15&gt;=60,"A-",
IF(E15&gt;=50,"B",
IF(E15&gt;=40,"C",
IF(E15&gt;=33,"D","F"))))))
</f>
        <v>A</v>
      </c>
      <c r="G15" s="38">
        <f>IF(E15&gt;=80,5,
IF(E15&gt;=70,4,
IF(E15&gt;=60,3.5,
IF(E15&gt;=50,3,
IF(E15&gt;=40,2,
IF(E15&gt;=33,1,0))))))</f>
        <v>4</v>
      </c>
      <c r="H15" s="40">
        <f>AVERAGE(
VALUE(G15),
VALUE(G16),
VALUE(G17),
VALUE(G18),
VALUE(G19),
VALUE(G20),
VALUE(G21),
VALUE(G22),
VALUE(G23),
VALUE(G24))</f>
        <v>3.9</v>
      </c>
    </row>
    <row r="16">
      <c r="A16" s="5"/>
      <c r="B16" s="37" t="s">
        <v>45</v>
      </c>
      <c r="C16" s="37" t="str">
        <f>'7t'!D7</f>
        <v/>
      </c>
      <c r="D16" s="37">
        <f>'7s'!D7</f>
        <v>22</v>
      </c>
      <c r="E16" s="38">
        <f t="shared" si="4"/>
        <v>22</v>
      </c>
      <c r="F16" s="38" t="str">
        <f>IF(E16&gt;=40,"A+",
IF(E16&gt;=35,"A",
IF(E16&gt;=30,"A-",
IF(E16&gt;=25,"B",
IF(E16&gt;=20,"C",
IF(E16&gt;=16,"D","F"))))))
</f>
        <v>C</v>
      </c>
      <c r="G16" s="38">
        <f>IF(E16&gt;=40,5,
IF(E16&gt;=35,4,
IF(E16&gt;=30,3.5,
IF(E16&gt;=25,3,
IF(E16&gt;=20,2,
IF(E16&gt;=16,1,0))))))</f>
        <v>2</v>
      </c>
      <c r="H16" s="41"/>
    </row>
    <row r="17">
      <c r="A17" s="5"/>
      <c r="B17" s="37" t="s">
        <v>57</v>
      </c>
      <c r="C17" s="37">
        <f>'7t'!E7</f>
        <v>27</v>
      </c>
      <c r="D17" s="37">
        <f>'7s'!E7</f>
        <v>50</v>
      </c>
      <c r="E17" s="38">
        <f t="shared" si="4"/>
        <v>77</v>
      </c>
      <c r="F17" s="38" t="str">
        <f>IF(E17&gt;=80,"A+",
IF(E17&gt;=70,"A",
IF(E17&gt;=60,"A-",
IF(E17&gt;=50,"B",
IF(E17&gt;=40,"C",
IF(E17&gt;=33,"D","F"))))))
</f>
        <v>A</v>
      </c>
      <c r="G17" s="38">
        <f>IF(E17&gt;=80,5,
IF(E17&gt;=70,4,
IF(E17&gt;=60,3.5,
IF(E17&gt;=50,3,
IF(E17&gt;=40,2,
IF(E17&gt;=33,1,0))))))</f>
        <v>4</v>
      </c>
      <c r="H17" s="41"/>
    </row>
    <row r="18">
      <c r="A18" s="5"/>
      <c r="B18" s="37" t="s">
        <v>58</v>
      </c>
      <c r="C18" s="37" t="str">
        <f>'7t'!F7</f>
        <v/>
      </c>
      <c r="D18" s="37">
        <f>'7s'!F7</f>
        <v>35</v>
      </c>
      <c r="E18" s="38">
        <f t="shared" si="4"/>
        <v>35</v>
      </c>
      <c r="F18" s="38" t="str">
        <f>IF(E18&gt;=40,"A+",
IF(E18&gt;=35,"A",
IF(E18&gt;=30,"A-",
IF(E18&gt;=25,"B",
IF(E18&gt;=20,"C",
IF(E18&gt;=16,"D","F"))))))
</f>
        <v>A</v>
      </c>
      <c r="G18" s="38">
        <f>IF(E18&gt;=40,5,
IF(E18&gt;=35,4,
IF(E18&gt;=30,3.5,
IF(E18&gt;=25,3,
IF(E18&gt;=20,2,
IF(E18&gt;=16,1,0))))))</f>
        <v>4</v>
      </c>
      <c r="H18" s="41"/>
    </row>
    <row r="19">
      <c r="A19" s="5"/>
      <c r="B19" s="38" t="s">
        <v>40</v>
      </c>
      <c r="C19" s="37">
        <f>'7t'!G7</f>
        <v>30</v>
      </c>
      <c r="D19" s="37">
        <f>'7s'!G7</f>
        <v>60</v>
      </c>
      <c r="E19" s="38">
        <f t="shared" si="4"/>
        <v>90</v>
      </c>
      <c r="F19" s="38" t="str">
        <f t="shared" ref="F19:F23" si="5">IF(E19&gt;=80,"A+",
IF(E19&gt;=70,"A",
IF(E19&gt;=60,"A-",
IF(E19&gt;=50,"B",
IF(E19&gt;=40,"C",
IF(E19&gt;=33,"D","F"))))))
</f>
        <v>A+</v>
      </c>
      <c r="G19" s="38">
        <f t="shared" ref="G19:G23" si="6">IF(E19&gt;=80,5,
IF(E19&gt;=70,4,
IF(E19&gt;=60,3.5,
IF(E19&gt;=50,3,
IF(E19&gt;=40,2,
IF(E19&gt;=33,1,0))))))</f>
        <v>5</v>
      </c>
      <c r="H19" s="41"/>
    </row>
    <row r="20">
      <c r="A20" s="5"/>
      <c r="B20" s="38" t="s">
        <v>41</v>
      </c>
      <c r="C20" s="38">
        <f>'7t'!H7</f>
        <v>28</v>
      </c>
      <c r="D20" s="38">
        <f>'7s'!H7</f>
        <v>40</v>
      </c>
      <c r="E20" s="38">
        <f t="shared" si="4"/>
        <v>68</v>
      </c>
      <c r="F20" s="38" t="str">
        <f t="shared" si="5"/>
        <v>A-</v>
      </c>
      <c r="G20" s="38">
        <f t="shared" si="6"/>
        <v>3.5</v>
      </c>
      <c r="H20" s="41"/>
    </row>
    <row r="21">
      <c r="A21" s="5"/>
      <c r="B21" s="38" t="s">
        <v>10</v>
      </c>
      <c r="C21" s="38">
        <f>'7t'!I7</f>
        <v>23</v>
      </c>
      <c r="D21" s="38">
        <f>'7s'!I7</f>
        <v>46</v>
      </c>
      <c r="E21" s="38">
        <f t="shared" si="4"/>
        <v>69</v>
      </c>
      <c r="F21" s="38" t="str">
        <f t="shared" si="5"/>
        <v>A-</v>
      </c>
      <c r="G21" s="38">
        <f t="shared" si="6"/>
        <v>3.5</v>
      </c>
      <c r="H21" s="41"/>
    </row>
    <row r="22">
      <c r="A22" s="5"/>
      <c r="B22" s="37" t="s">
        <v>48</v>
      </c>
      <c r="C22" s="38">
        <f>'7t'!J7</f>
        <v>27</v>
      </c>
      <c r="D22" s="38">
        <f>'7s'!J7</f>
        <v>53</v>
      </c>
      <c r="E22" s="38">
        <f t="shared" si="4"/>
        <v>80</v>
      </c>
      <c r="F22" s="38" t="str">
        <f t="shared" si="5"/>
        <v>A+</v>
      </c>
      <c r="G22" s="38">
        <f t="shared" si="6"/>
        <v>5</v>
      </c>
      <c r="H22" s="41"/>
    </row>
    <row r="23">
      <c r="A23" s="5"/>
      <c r="B23" s="38" t="s">
        <v>11</v>
      </c>
      <c r="C23" s="38">
        <f>'7t'!K7</f>
        <v>24</v>
      </c>
      <c r="D23" s="38">
        <f>'7s'!K7</f>
        <v>50</v>
      </c>
      <c r="E23" s="38">
        <f t="shared" si="4"/>
        <v>74</v>
      </c>
      <c r="F23" s="38" t="str">
        <f t="shared" si="5"/>
        <v>A</v>
      </c>
      <c r="G23" s="38">
        <f t="shared" si="6"/>
        <v>4</v>
      </c>
      <c r="H23" s="41"/>
    </row>
    <row r="24">
      <c r="A24" s="8"/>
      <c r="B24" s="37" t="s">
        <v>49</v>
      </c>
      <c r="C24" s="38">
        <f>'7t'!L7</f>
        <v>19</v>
      </c>
      <c r="D24" s="38">
        <f>'7s'!L7</f>
        <v>19</v>
      </c>
      <c r="E24" s="38">
        <f t="shared" si="4"/>
        <v>38</v>
      </c>
      <c r="F24" s="38" t="str">
        <f>IF(E24&gt;=40,"A+",
IF(E24&gt;=35,"A",
IF(E24&gt;=30,"A-",
IF(E24&gt;=25,"B",
IF(E24&gt;=20,"C",
IF(E24&gt;=16,"D","F"))))))
</f>
        <v>A</v>
      </c>
      <c r="G24" s="38">
        <f>IF(E24&gt;=40,5,
IF(E24&gt;=35,4,
IF(E24&gt;=30,3.5,
IF(E24&gt;=25,3,
IF(E24&gt;=20,2,
IF(E24&gt;=16,1,0))))))</f>
        <v>4</v>
      </c>
      <c r="H24" s="12"/>
    </row>
    <row r="25">
      <c r="A25" s="30" t="s">
        <v>3</v>
      </c>
      <c r="B25" s="31" t="s">
        <v>31</v>
      </c>
      <c r="C25" s="42" t="str">
        <f>'7s'!B8</f>
        <v>SUMAYIA AKTER</v>
      </c>
      <c r="D25" s="23"/>
      <c r="E25" s="23"/>
      <c r="F25" s="23"/>
      <c r="G25" s="23"/>
      <c r="H25" s="24"/>
    </row>
    <row r="26">
      <c r="A26" s="47">
        <v>3.0</v>
      </c>
      <c r="B26" s="35" t="s">
        <v>32</v>
      </c>
      <c r="C26" s="36" t="str">
        <f>'7'!C14</f>
        <v>3rd Tutorial
Exam (30)</v>
      </c>
      <c r="D26" s="36" t="str">
        <f>'7'!D14</f>
        <v>3rd Semester
Exam (70)</v>
      </c>
      <c r="E26" s="35" t="s">
        <v>35</v>
      </c>
      <c r="F26" s="36" t="s">
        <v>36</v>
      </c>
      <c r="G26" s="36" t="s">
        <v>37</v>
      </c>
      <c r="H26" s="36" t="s">
        <v>38</v>
      </c>
    </row>
    <row r="27">
      <c r="A27" s="5"/>
      <c r="B27" s="37" t="s">
        <v>44</v>
      </c>
      <c r="C27" s="37">
        <f>'7t'!C8</f>
        <v>10</v>
      </c>
      <c r="D27" s="37">
        <f>'7s'!C8</f>
        <v>24</v>
      </c>
      <c r="E27" s="38">
        <f t="shared" ref="E27:E36" si="7">SUM(C27:D27)</f>
        <v>34</v>
      </c>
      <c r="F27" s="38" t="str">
        <f>IF(E27&gt;=80,"A+",
IF(E27&gt;=70,"A",
IF(E27&gt;=60,"A-",
IF(E27&gt;=50,"B",
IF(E27&gt;=40,"C",
IF(E27&gt;=33,"D","F"))))))
</f>
        <v>D</v>
      </c>
      <c r="G27" s="38">
        <f>IF(E27&gt;=80,5,
IF(E27&gt;=70,4,
IF(E27&gt;=60,3.5,
IF(E27&gt;=50,3,
IF(E27&gt;=40,2,
IF(E27&gt;=33,1,0))))))</f>
        <v>1</v>
      </c>
      <c r="H27" s="40">
        <f>AVERAGE(
VALUE(G27),
VALUE(G28),
VALUE(G29),
VALUE(G30),
VALUE(G31),
VALUE(G32),
VALUE(G33),
VALUE(G34),
VALUE(G35),
VALUE(G36))</f>
        <v>1.2</v>
      </c>
    </row>
    <row r="28">
      <c r="A28" s="5"/>
      <c r="B28" s="37" t="s">
        <v>45</v>
      </c>
      <c r="C28" s="37" t="str">
        <f>'7t'!D8</f>
        <v/>
      </c>
      <c r="D28" s="37">
        <f>'7s'!D8</f>
        <v>17</v>
      </c>
      <c r="E28" s="38">
        <f t="shared" si="7"/>
        <v>17</v>
      </c>
      <c r="F28" s="38" t="str">
        <f>IF(E28&gt;=40,"A+",
IF(E28&gt;=35,"A",
IF(E28&gt;=30,"A-",
IF(E28&gt;=25,"B",
IF(E28&gt;=20,"C",
IF(E28&gt;=16,"D","F"))))))
</f>
        <v>D</v>
      </c>
      <c r="G28" s="38">
        <f>IF(E28&gt;=40,5,
IF(E28&gt;=35,4,
IF(E28&gt;=30,3.5,
IF(E28&gt;=25,3,
IF(E28&gt;=20,2,
IF(E28&gt;=16,1,0))))))</f>
        <v>1</v>
      </c>
      <c r="H28" s="41"/>
    </row>
    <row r="29">
      <c r="A29" s="5"/>
      <c r="B29" s="37" t="s">
        <v>57</v>
      </c>
      <c r="C29" s="37">
        <f>'7t'!E8</f>
        <v>10</v>
      </c>
      <c r="D29" s="37">
        <f>'7s'!E8</f>
        <v>25</v>
      </c>
      <c r="E29" s="38">
        <f t="shared" si="7"/>
        <v>35</v>
      </c>
      <c r="F29" s="38" t="str">
        <f>IF(E29&gt;=80,"A+",
IF(E29&gt;=70,"A",
IF(E29&gt;=60,"A-",
IF(E29&gt;=50,"B",
IF(E29&gt;=40,"C",
IF(E29&gt;=33,"D","F"))))))
</f>
        <v>D</v>
      </c>
      <c r="G29" s="38">
        <f>IF(E29&gt;=80,5,
IF(E29&gt;=70,4,
IF(E29&gt;=60,3.5,
IF(E29&gt;=50,3,
IF(E29&gt;=40,2,
IF(E29&gt;=33,1,0))))))</f>
        <v>1</v>
      </c>
      <c r="H29" s="41"/>
    </row>
    <row r="30">
      <c r="A30" s="5"/>
      <c r="B30" s="37" t="s">
        <v>58</v>
      </c>
      <c r="C30" s="37" t="str">
        <f>'7t'!F8</f>
        <v/>
      </c>
      <c r="D30" s="37">
        <f>'7s'!F8</f>
        <v>25</v>
      </c>
      <c r="E30" s="38">
        <f t="shared" si="7"/>
        <v>25</v>
      </c>
      <c r="F30" s="38" t="str">
        <f>IF(E30&gt;=40,"A+",
IF(E30&gt;=35,"A",
IF(E30&gt;=30,"A-",
IF(E30&gt;=25,"B",
IF(E30&gt;=20,"C",
IF(E30&gt;=16,"D","F"))))))
</f>
        <v>B</v>
      </c>
      <c r="G30" s="38">
        <f>IF(E30&gt;=40,5,
IF(E30&gt;=35,4,
IF(E30&gt;=30,3.5,
IF(E30&gt;=25,3,
IF(E30&gt;=20,2,
IF(E30&gt;=16,1,0))))))</f>
        <v>3</v>
      </c>
      <c r="H30" s="41"/>
    </row>
    <row r="31">
      <c r="A31" s="5"/>
      <c r="B31" s="38" t="s">
        <v>40</v>
      </c>
      <c r="C31" s="37">
        <f>'7t'!G8</f>
        <v>10</v>
      </c>
      <c r="D31" s="37">
        <f>'7s'!G8</f>
        <v>24</v>
      </c>
      <c r="E31" s="38">
        <f t="shared" si="7"/>
        <v>34</v>
      </c>
      <c r="F31" s="38" t="str">
        <f t="shared" ref="F31:F35" si="8">IF(E31&gt;=80,"A+",
IF(E31&gt;=70,"A",
IF(E31&gt;=60,"A-",
IF(E31&gt;=50,"B",
IF(E31&gt;=40,"C",
IF(E31&gt;=33,"D","F"))))))
</f>
        <v>D</v>
      </c>
      <c r="G31" s="38">
        <f t="shared" ref="G31:G35" si="9">IF(E31&gt;=80,5,
IF(E31&gt;=70,4,
IF(E31&gt;=60,3.5,
IF(E31&gt;=50,3,
IF(E31&gt;=40,2,
IF(E31&gt;=33,1,0))))))</f>
        <v>1</v>
      </c>
      <c r="H31" s="41"/>
    </row>
    <row r="32">
      <c r="A32" s="5"/>
      <c r="B32" s="38" t="s">
        <v>41</v>
      </c>
      <c r="C32" s="38">
        <f>'7t'!H8</f>
        <v>10</v>
      </c>
      <c r="D32" s="38">
        <f>'7s'!H8</f>
        <v>24</v>
      </c>
      <c r="E32" s="38">
        <f t="shared" si="7"/>
        <v>34</v>
      </c>
      <c r="F32" s="38" t="str">
        <f t="shared" si="8"/>
        <v>D</v>
      </c>
      <c r="G32" s="38">
        <f t="shared" si="9"/>
        <v>1</v>
      </c>
      <c r="H32" s="41"/>
    </row>
    <row r="33">
      <c r="A33" s="5"/>
      <c r="B33" s="38" t="s">
        <v>10</v>
      </c>
      <c r="C33" s="38">
        <f>'7t'!I8</f>
        <v>10</v>
      </c>
      <c r="D33" s="38">
        <f>'7s'!I8</f>
        <v>28</v>
      </c>
      <c r="E33" s="38">
        <f t="shared" si="7"/>
        <v>38</v>
      </c>
      <c r="F33" s="38" t="str">
        <f t="shared" si="8"/>
        <v>D</v>
      </c>
      <c r="G33" s="38">
        <f t="shared" si="9"/>
        <v>1</v>
      </c>
      <c r="H33" s="41"/>
    </row>
    <row r="34">
      <c r="A34" s="5"/>
      <c r="B34" s="37" t="s">
        <v>67</v>
      </c>
      <c r="C34" s="38">
        <f>'7t'!J8</f>
        <v>11</v>
      </c>
      <c r="D34" s="38">
        <f>'7s'!J8</f>
        <v>24</v>
      </c>
      <c r="E34" s="38">
        <f t="shared" si="7"/>
        <v>35</v>
      </c>
      <c r="F34" s="38" t="str">
        <f t="shared" si="8"/>
        <v>D</v>
      </c>
      <c r="G34" s="38">
        <f t="shared" si="9"/>
        <v>1</v>
      </c>
      <c r="H34" s="41"/>
    </row>
    <row r="35">
      <c r="A35" s="5"/>
      <c r="B35" s="38" t="s">
        <v>11</v>
      </c>
      <c r="C35" s="38">
        <f>'7t'!K8</f>
        <v>10</v>
      </c>
      <c r="D35" s="38">
        <f>'7s'!K8</f>
        <v>26</v>
      </c>
      <c r="E35" s="38">
        <f t="shared" si="7"/>
        <v>36</v>
      </c>
      <c r="F35" s="38" t="str">
        <f t="shared" si="8"/>
        <v>D</v>
      </c>
      <c r="G35" s="38">
        <f t="shared" si="9"/>
        <v>1</v>
      </c>
      <c r="H35" s="41"/>
    </row>
    <row r="36">
      <c r="A36" s="8"/>
      <c r="B36" s="37" t="s">
        <v>49</v>
      </c>
      <c r="C36" s="38">
        <f>'7t'!L8</f>
        <v>8</v>
      </c>
      <c r="D36" s="38">
        <f>'7s'!L8</f>
        <v>8</v>
      </c>
      <c r="E36" s="38">
        <f t="shared" si="7"/>
        <v>16</v>
      </c>
      <c r="F36" s="38" t="str">
        <f>IF(E36&gt;=40,"A+",
IF(E36&gt;=35,"A",
IF(E36&gt;=30,"A-",
IF(E36&gt;=25,"B",
IF(E36&gt;=20,"C",
IF(E36&gt;=16,"D","F"))))))
</f>
        <v>D</v>
      </c>
      <c r="G36" s="38">
        <f>IF(E36&gt;=40,5,
IF(E36&gt;=35,4,
IF(E36&gt;=30,3.5,
IF(E36&gt;=25,3,
IF(E36&gt;=20,2,
IF(E36&gt;=16,1,0))))))</f>
        <v>1</v>
      </c>
      <c r="H36" s="12"/>
    </row>
    <row r="37">
      <c r="A37" s="30" t="s">
        <v>3</v>
      </c>
      <c r="B37" s="31" t="s">
        <v>31</v>
      </c>
      <c r="C37" s="42" t="str">
        <f>'7s'!B9</f>
        <v>JANNAT AKTER</v>
      </c>
      <c r="D37" s="23"/>
      <c r="E37" s="23"/>
      <c r="F37" s="23"/>
      <c r="G37" s="23"/>
      <c r="H37" s="24"/>
    </row>
    <row r="38">
      <c r="A38" s="47">
        <v>4.0</v>
      </c>
      <c r="B38" s="35" t="s">
        <v>32</v>
      </c>
      <c r="C38" s="36" t="str">
        <f>'7'!C26</f>
        <v>3rd Tutorial
Exam (30)</v>
      </c>
      <c r="D38" s="36" t="str">
        <f>'7'!D26</f>
        <v>3rd Semester
Exam (70)</v>
      </c>
      <c r="E38" s="35" t="s">
        <v>35</v>
      </c>
      <c r="F38" s="36" t="s">
        <v>36</v>
      </c>
      <c r="G38" s="36" t="s">
        <v>37</v>
      </c>
      <c r="H38" s="36" t="s">
        <v>38</v>
      </c>
    </row>
    <row r="39">
      <c r="A39" s="5"/>
      <c r="B39" s="37" t="s">
        <v>44</v>
      </c>
      <c r="C39" s="37" t="str">
        <f>'7t'!C9</f>
        <v/>
      </c>
      <c r="D39" s="37" t="str">
        <f>'7s'!C9</f>
        <v/>
      </c>
      <c r="E39" s="38">
        <f t="shared" ref="E39:E48" si="10">SUM(C39:D39)</f>
        <v>0</v>
      </c>
      <c r="F39" s="38" t="str">
        <f>IF(E39&gt;=80,"A+",
IF(E39&gt;=70,"A",
IF(E39&gt;=60,"A-",
IF(E39&gt;=50,"B",
IF(E39&gt;=40,"C",
IF(E39&gt;=33,"D","F"))))))
</f>
        <v>F</v>
      </c>
      <c r="G39" s="38">
        <f>IF(E39&gt;=80,5,
IF(E39&gt;=70,4,
IF(E39&gt;=60,3.5,
IF(E39&gt;=50,3,
IF(E39&gt;=40,2,
IF(E39&gt;=33,1,0))))))</f>
        <v>0</v>
      </c>
      <c r="H39" s="40">
        <f>AVERAGE(
VALUE(G39),
VALUE(G40),
VALUE(G41),
VALUE(G42),
VALUE(G43),
VALUE(G44),
VALUE(G45),
VALUE(G46),
VALUE(G47),
VALUE(G48))</f>
        <v>0</v>
      </c>
    </row>
    <row r="40">
      <c r="A40" s="5"/>
      <c r="B40" s="37" t="s">
        <v>45</v>
      </c>
      <c r="C40" s="37" t="str">
        <f>'7t'!D9</f>
        <v/>
      </c>
      <c r="D40" s="37" t="str">
        <f>'7s'!D9</f>
        <v/>
      </c>
      <c r="E40" s="38">
        <f t="shared" si="10"/>
        <v>0</v>
      </c>
      <c r="F40" s="38" t="str">
        <f>IF(E40&gt;=40,"A+",
IF(E40&gt;=35,"A",
IF(E40&gt;=30,"A-",
IF(E40&gt;=25,"B",
IF(E40&gt;=20,"C",
IF(E40&gt;=16,"D","F"))))))
</f>
        <v>F</v>
      </c>
      <c r="G40" s="38">
        <f>IF(E40&gt;=40,5,
IF(E40&gt;=35,4,
IF(E40&gt;=30,3.5,
IF(E40&gt;=25,3,
IF(E40&gt;=20,2,
IF(E40&gt;=16,1,0))))))</f>
        <v>0</v>
      </c>
      <c r="H40" s="41"/>
    </row>
    <row r="41">
      <c r="A41" s="5"/>
      <c r="B41" s="37" t="s">
        <v>57</v>
      </c>
      <c r="C41" s="37" t="str">
        <f>'7t'!E9</f>
        <v/>
      </c>
      <c r="D41" s="37" t="str">
        <f>'7s'!E9</f>
        <v/>
      </c>
      <c r="E41" s="38">
        <f t="shared" si="10"/>
        <v>0</v>
      </c>
      <c r="F41" s="38" t="str">
        <f>IF(E41&gt;=80,"A+",
IF(E41&gt;=70,"A",
IF(E41&gt;=60,"A-",
IF(E41&gt;=50,"B",
IF(E41&gt;=40,"C",
IF(E41&gt;=33,"D","F"))))))
</f>
        <v>F</v>
      </c>
      <c r="G41" s="38">
        <f>IF(E41&gt;=80,5,
IF(E41&gt;=70,4,
IF(E41&gt;=60,3.5,
IF(E41&gt;=50,3,
IF(E41&gt;=40,2,
IF(E41&gt;=33,1,0))))))</f>
        <v>0</v>
      </c>
      <c r="H41" s="41"/>
    </row>
    <row r="42">
      <c r="A42" s="5"/>
      <c r="B42" s="37" t="s">
        <v>58</v>
      </c>
      <c r="C42" s="37" t="str">
        <f>'7t'!F9</f>
        <v/>
      </c>
      <c r="D42" s="37" t="str">
        <f>'7s'!F9</f>
        <v/>
      </c>
      <c r="E42" s="38">
        <f t="shared" si="10"/>
        <v>0</v>
      </c>
      <c r="F42" s="38" t="str">
        <f>IF(E42&gt;=40,"A+",
IF(E42&gt;=35,"A",
IF(E42&gt;=30,"A-",
IF(E42&gt;=25,"B",
IF(E42&gt;=20,"C",
IF(E42&gt;=16,"D","F"))))))
</f>
        <v>F</v>
      </c>
      <c r="G42" s="38">
        <f>IF(E42&gt;=40,5,
IF(E42&gt;=35,4,
IF(E42&gt;=30,3.5,
IF(E42&gt;=25,3,
IF(E42&gt;=20,2,
IF(E42&gt;=16,1,0))))))</f>
        <v>0</v>
      </c>
      <c r="H42" s="41"/>
    </row>
    <row r="43">
      <c r="A43" s="5"/>
      <c r="B43" s="38" t="s">
        <v>40</v>
      </c>
      <c r="C43" s="37" t="str">
        <f>'7t'!G9</f>
        <v/>
      </c>
      <c r="D43" s="37" t="str">
        <f>'7s'!G9</f>
        <v/>
      </c>
      <c r="E43" s="38">
        <f t="shared" si="10"/>
        <v>0</v>
      </c>
      <c r="F43" s="38" t="str">
        <f t="shared" ref="F43:F47" si="11">IF(E43&gt;=80,"A+",
IF(E43&gt;=70,"A",
IF(E43&gt;=60,"A-",
IF(E43&gt;=50,"B",
IF(E43&gt;=40,"C",
IF(E43&gt;=33,"D","F"))))))
</f>
        <v>F</v>
      </c>
      <c r="G43" s="38">
        <f t="shared" ref="G43:G47" si="12">IF(E43&gt;=80,5,
IF(E43&gt;=70,4,
IF(E43&gt;=60,3.5,
IF(E43&gt;=50,3,
IF(E43&gt;=40,2,
IF(E43&gt;=33,1,0))))))</f>
        <v>0</v>
      </c>
      <c r="H43" s="41"/>
    </row>
    <row r="44">
      <c r="A44" s="5"/>
      <c r="B44" s="38" t="s">
        <v>41</v>
      </c>
      <c r="C44" s="38" t="str">
        <f>'7t'!H9</f>
        <v/>
      </c>
      <c r="D44" s="38" t="str">
        <f>'7s'!H9</f>
        <v/>
      </c>
      <c r="E44" s="38">
        <f t="shared" si="10"/>
        <v>0</v>
      </c>
      <c r="F44" s="38" t="str">
        <f t="shared" si="11"/>
        <v>F</v>
      </c>
      <c r="G44" s="38">
        <f t="shared" si="12"/>
        <v>0</v>
      </c>
      <c r="H44" s="41"/>
    </row>
    <row r="45">
      <c r="A45" s="5"/>
      <c r="B45" s="38" t="s">
        <v>10</v>
      </c>
      <c r="C45" s="38" t="str">
        <f>'7t'!I9</f>
        <v/>
      </c>
      <c r="D45" s="38" t="str">
        <f>'7s'!I9</f>
        <v/>
      </c>
      <c r="E45" s="38">
        <f t="shared" si="10"/>
        <v>0</v>
      </c>
      <c r="F45" s="38" t="str">
        <f t="shared" si="11"/>
        <v>F</v>
      </c>
      <c r="G45" s="38">
        <f t="shared" si="12"/>
        <v>0</v>
      </c>
      <c r="H45" s="41"/>
    </row>
    <row r="46">
      <c r="A46" s="5"/>
      <c r="B46" s="37" t="s">
        <v>48</v>
      </c>
      <c r="C46" s="38" t="str">
        <f>'7t'!J9</f>
        <v/>
      </c>
      <c r="D46" s="38" t="str">
        <f>'7s'!J9</f>
        <v/>
      </c>
      <c r="E46" s="38">
        <f t="shared" si="10"/>
        <v>0</v>
      </c>
      <c r="F46" s="38" t="str">
        <f t="shared" si="11"/>
        <v>F</v>
      </c>
      <c r="G46" s="38">
        <f t="shared" si="12"/>
        <v>0</v>
      </c>
      <c r="H46" s="41"/>
    </row>
    <row r="47">
      <c r="A47" s="5"/>
      <c r="B47" s="38" t="s">
        <v>11</v>
      </c>
      <c r="C47" s="38" t="str">
        <f>'7t'!K9</f>
        <v/>
      </c>
      <c r="D47" s="38" t="str">
        <f>'7s'!K9</f>
        <v/>
      </c>
      <c r="E47" s="38">
        <f t="shared" si="10"/>
        <v>0</v>
      </c>
      <c r="F47" s="38" t="str">
        <f t="shared" si="11"/>
        <v>F</v>
      </c>
      <c r="G47" s="38">
        <f t="shared" si="12"/>
        <v>0</v>
      </c>
      <c r="H47" s="41"/>
    </row>
    <row r="48">
      <c r="A48" s="8"/>
      <c r="B48" s="37" t="s">
        <v>49</v>
      </c>
      <c r="C48" s="38" t="str">
        <f>'7t'!L9</f>
        <v/>
      </c>
      <c r="D48" s="38" t="str">
        <f>'7s'!L9</f>
        <v/>
      </c>
      <c r="E48" s="38">
        <f t="shared" si="10"/>
        <v>0</v>
      </c>
      <c r="F48" s="38" t="str">
        <f>IF(E48&gt;=40,"A+",
IF(E48&gt;=35,"A",
IF(E48&gt;=30,"A-",
IF(E48&gt;=25,"B",
IF(E48&gt;=20,"C",
IF(E48&gt;=16,"D","F"))))))
</f>
        <v>F</v>
      </c>
      <c r="G48" s="38">
        <f>IF(E48&gt;=40,5,
IF(E48&gt;=35,4,
IF(E48&gt;=30,3.5,
IF(E48&gt;=25,3,
IF(E48&gt;=20,2,
IF(E48&gt;=16,1,0))))))</f>
        <v>0</v>
      </c>
      <c r="H48" s="12"/>
    </row>
    <row r="49">
      <c r="A49" s="30" t="s">
        <v>3</v>
      </c>
      <c r="B49" s="31" t="s">
        <v>31</v>
      </c>
      <c r="C49" s="42" t="str">
        <f>'7s'!B10</f>
        <v>SUMONA AKTER</v>
      </c>
      <c r="D49" s="23"/>
      <c r="E49" s="23"/>
      <c r="F49" s="23"/>
      <c r="G49" s="23"/>
      <c r="H49" s="24"/>
    </row>
    <row r="50">
      <c r="A50" s="47">
        <v>5.0</v>
      </c>
      <c r="B50" s="35" t="s">
        <v>32</v>
      </c>
      <c r="C50" s="36" t="str">
        <f>'7'!C38</f>
        <v>3rd Tutorial
Exam (30)</v>
      </c>
      <c r="D50" s="36" t="str">
        <f>'7'!D38</f>
        <v>3rd Semester
Exam (70)</v>
      </c>
      <c r="E50" s="35" t="s">
        <v>35</v>
      </c>
      <c r="F50" s="36" t="s">
        <v>36</v>
      </c>
      <c r="G50" s="36" t="s">
        <v>37</v>
      </c>
      <c r="H50" s="36" t="s">
        <v>38</v>
      </c>
    </row>
    <row r="51">
      <c r="A51" s="5"/>
      <c r="B51" s="37" t="s">
        <v>44</v>
      </c>
      <c r="C51" s="37">
        <f>'7t'!C10</f>
        <v>10</v>
      </c>
      <c r="D51" s="37">
        <f>'7s'!C10</f>
        <v>24</v>
      </c>
      <c r="E51" s="38">
        <f t="shared" ref="E51:E60" si="13">SUM(C51:D51)</f>
        <v>34</v>
      </c>
      <c r="F51" s="38" t="str">
        <f>IF(E51&gt;=80,"A+",
IF(E51&gt;=70,"A",
IF(E51&gt;=60,"A-",
IF(E51&gt;=50,"B",
IF(E51&gt;=40,"C",
IF(E51&gt;=33,"D","F"))))))
</f>
        <v>D</v>
      </c>
      <c r="G51" s="38">
        <f>IF(E51&gt;=80,5,
IF(E51&gt;=70,4,
IF(E51&gt;=60,3.5,
IF(E51&gt;=50,3,
IF(E51&gt;=40,2,
IF(E51&gt;=33,1,0))))))</f>
        <v>1</v>
      </c>
      <c r="H51" s="40">
        <f>AVERAGE(
VALUE(G51),
VALUE(G52),
VALUE(G53),
VALUE(G54),
VALUE(G55),
VALUE(G56),
VALUE(G57),
VALUE(G58),
VALUE(G59),
VALUE(G60))</f>
        <v>1.1</v>
      </c>
    </row>
    <row r="52">
      <c r="A52" s="5"/>
      <c r="B52" s="37" t="s">
        <v>45</v>
      </c>
      <c r="C52" s="37" t="str">
        <f>'7t'!D10</f>
        <v/>
      </c>
      <c r="D52" s="37">
        <f>'7s'!D10</f>
        <v>17</v>
      </c>
      <c r="E52" s="38">
        <f t="shared" si="13"/>
        <v>17</v>
      </c>
      <c r="F52" s="38" t="str">
        <f>IF(E52&gt;=40,"A+",
IF(E52&gt;=35,"A",
IF(E52&gt;=30,"A-",
IF(E52&gt;=25,"B",
IF(E52&gt;=20,"C",
IF(E52&gt;=16,"D","F"))))))
</f>
        <v>D</v>
      </c>
      <c r="G52" s="38">
        <f>IF(E52&gt;=40,5,
IF(E52&gt;=35,4,
IF(E52&gt;=30,3.5,
IF(E52&gt;=25,3,
IF(E52&gt;=20,2,
IF(E52&gt;=16,1,0))))))</f>
        <v>1</v>
      </c>
      <c r="H52" s="41"/>
    </row>
    <row r="53">
      <c r="A53" s="5"/>
      <c r="B53" s="37" t="s">
        <v>57</v>
      </c>
      <c r="C53" s="37">
        <f>'7t'!E10</f>
        <v>10</v>
      </c>
      <c r="D53" s="37">
        <f>'7s'!E10</f>
        <v>25</v>
      </c>
      <c r="E53" s="38">
        <f t="shared" si="13"/>
        <v>35</v>
      </c>
      <c r="F53" s="38" t="str">
        <f>IF(E53&gt;=80,"A+",
IF(E53&gt;=70,"A",
IF(E53&gt;=60,"A-",
IF(E53&gt;=50,"B",
IF(E53&gt;=40,"C",
IF(E53&gt;=33,"D","F"))))))
</f>
        <v>D</v>
      </c>
      <c r="G53" s="38">
        <f>IF(E53&gt;=80,5,
IF(E53&gt;=70,4,
IF(E53&gt;=60,3.5,
IF(E53&gt;=50,3,
IF(E53&gt;=40,2,
IF(E53&gt;=33,1,0))))))</f>
        <v>1</v>
      </c>
      <c r="H53" s="41"/>
    </row>
    <row r="54">
      <c r="A54" s="5"/>
      <c r="B54" s="37" t="s">
        <v>58</v>
      </c>
      <c r="C54" s="37" t="str">
        <f>'7t'!F10</f>
        <v/>
      </c>
      <c r="D54" s="37">
        <f>'7s'!F10</f>
        <v>25</v>
      </c>
      <c r="E54" s="38">
        <f t="shared" si="13"/>
        <v>25</v>
      </c>
      <c r="F54" s="38" t="str">
        <f>IF(E54&gt;=40,"A+",
IF(E54&gt;=35,"A",
IF(E54&gt;=30,"A-",
IF(E54&gt;=25,"B",
IF(E54&gt;=20,"C",
IF(E54&gt;=16,"D","F"))))))
</f>
        <v>B</v>
      </c>
      <c r="G54" s="38">
        <f>IF(E54&gt;=40,5,
IF(E54&gt;=35,4,
IF(E54&gt;=30,3.5,
IF(E54&gt;=25,3,
IF(E54&gt;=20,2,
IF(E54&gt;=16,1,0))))))</f>
        <v>3</v>
      </c>
      <c r="H54" s="41"/>
    </row>
    <row r="55">
      <c r="A55" s="5"/>
      <c r="B55" s="38" t="s">
        <v>40</v>
      </c>
      <c r="C55" s="37" t="str">
        <f>'7t'!G10</f>
        <v/>
      </c>
      <c r="D55" s="37">
        <f>'7s'!G10</f>
        <v>24</v>
      </c>
      <c r="E55" s="38">
        <f t="shared" si="13"/>
        <v>24</v>
      </c>
      <c r="F55" s="38" t="str">
        <f t="shared" ref="F55:F59" si="14">IF(E55&gt;=80,"A+",
IF(E55&gt;=70,"A",
IF(E55&gt;=60,"A-",
IF(E55&gt;=50,"B",
IF(E55&gt;=40,"C",
IF(E55&gt;=33,"D","F"))))))
</f>
        <v>F</v>
      </c>
      <c r="G55" s="38">
        <f t="shared" ref="G55:G59" si="15">IF(E55&gt;=80,5,
IF(E55&gt;=70,4,
IF(E55&gt;=60,3.5,
IF(E55&gt;=50,3,
IF(E55&gt;=40,2,
IF(E55&gt;=33,1,0))))))</f>
        <v>0</v>
      </c>
      <c r="H55" s="41"/>
    </row>
    <row r="56">
      <c r="A56" s="5"/>
      <c r="B56" s="38" t="s">
        <v>41</v>
      </c>
      <c r="C56" s="38" t="str">
        <f>'7t'!H10</f>
        <v/>
      </c>
      <c r="D56" s="38">
        <f>'7s'!H10</f>
        <v>24</v>
      </c>
      <c r="E56" s="38">
        <f t="shared" si="13"/>
        <v>24</v>
      </c>
      <c r="F56" s="38" t="str">
        <f t="shared" si="14"/>
        <v>F</v>
      </c>
      <c r="G56" s="38">
        <f t="shared" si="15"/>
        <v>0</v>
      </c>
      <c r="H56" s="41"/>
    </row>
    <row r="57">
      <c r="A57" s="5"/>
      <c r="B57" s="38" t="s">
        <v>10</v>
      </c>
      <c r="C57" s="38">
        <f>'7t'!I10</f>
        <v>10</v>
      </c>
      <c r="D57" s="38">
        <f>'7s'!I10</f>
        <v>24</v>
      </c>
      <c r="E57" s="38">
        <f t="shared" si="13"/>
        <v>34</v>
      </c>
      <c r="F57" s="38" t="str">
        <f t="shared" si="14"/>
        <v>D</v>
      </c>
      <c r="G57" s="38">
        <f t="shared" si="15"/>
        <v>1</v>
      </c>
      <c r="H57" s="41"/>
    </row>
    <row r="58">
      <c r="A58" s="5"/>
      <c r="B58" s="37" t="s">
        <v>48</v>
      </c>
      <c r="C58" s="38">
        <f>'7t'!J10</f>
        <v>13</v>
      </c>
      <c r="D58" s="38">
        <f>'7s'!J10</f>
        <v>24</v>
      </c>
      <c r="E58" s="38">
        <f t="shared" si="13"/>
        <v>37</v>
      </c>
      <c r="F58" s="38" t="str">
        <f t="shared" si="14"/>
        <v>D</v>
      </c>
      <c r="G58" s="38">
        <f t="shared" si="15"/>
        <v>1</v>
      </c>
      <c r="H58" s="41"/>
    </row>
    <row r="59">
      <c r="A59" s="5"/>
      <c r="B59" s="38" t="s">
        <v>11</v>
      </c>
      <c r="C59" s="38">
        <f>'7t'!K10</f>
        <v>10</v>
      </c>
      <c r="D59" s="38">
        <f>'7s'!K10</f>
        <v>26</v>
      </c>
      <c r="E59" s="38">
        <f t="shared" si="13"/>
        <v>36</v>
      </c>
      <c r="F59" s="38" t="str">
        <f t="shared" si="14"/>
        <v>D</v>
      </c>
      <c r="G59" s="38">
        <f t="shared" si="15"/>
        <v>1</v>
      </c>
      <c r="H59" s="41"/>
    </row>
    <row r="60">
      <c r="A60" s="8"/>
      <c r="B60" s="37" t="s">
        <v>49</v>
      </c>
      <c r="C60" s="38">
        <f>'7t'!L10</f>
        <v>12</v>
      </c>
      <c r="D60" s="38">
        <f>'7s'!L10</f>
        <v>12</v>
      </c>
      <c r="E60" s="38">
        <f t="shared" si="13"/>
        <v>24</v>
      </c>
      <c r="F60" s="38" t="str">
        <f>IF(E60&gt;=40,"A+",
IF(E60&gt;=35,"A",
IF(E60&gt;=30,"A-",
IF(E60&gt;=25,"B",
IF(E60&gt;=20,"C",
IF(E60&gt;=16,"D","F"))))))
</f>
        <v>C</v>
      </c>
      <c r="G60" s="38">
        <f>IF(E60&gt;=40,5,
IF(E60&gt;=35,4,
IF(E60&gt;=30,3.5,
IF(E60&gt;=25,3,
IF(E60&gt;=20,2,
IF(E60&gt;=16,1,0))))))</f>
        <v>2</v>
      </c>
      <c r="H60" s="12"/>
    </row>
    <row r="61">
      <c r="A61" s="30" t="s">
        <v>3</v>
      </c>
      <c r="B61" s="31" t="s">
        <v>31</v>
      </c>
      <c r="C61" s="42" t="str">
        <f>'7s'!B11</f>
        <v>SHOWRIN SHABA</v>
      </c>
      <c r="D61" s="23"/>
      <c r="E61" s="23"/>
      <c r="F61" s="23"/>
      <c r="G61" s="23"/>
      <c r="H61" s="24"/>
    </row>
    <row r="62">
      <c r="A62" s="47">
        <v>6.0</v>
      </c>
      <c r="B62" s="35" t="s">
        <v>32</v>
      </c>
      <c r="C62" s="36" t="str">
        <f>'7'!C50</f>
        <v>3rd Tutorial
Exam (30)</v>
      </c>
      <c r="D62" s="36" t="str">
        <f>'7'!D50</f>
        <v>3rd Semester
Exam (70)</v>
      </c>
      <c r="E62" s="35" t="s">
        <v>35</v>
      </c>
      <c r="F62" s="36" t="s">
        <v>36</v>
      </c>
      <c r="G62" s="36" t="s">
        <v>37</v>
      </c>
      <c r="H62" s="36" t="s">
        <v>38</v>
      </c>
    </row>
    <row r="63">
      <c r="A63" s="5"/>
      <c r="B63" s="37" t="s">
        <v>44</v>
      </c>
      <c r="C63" s="37">
        <f>'7t'!C11</f>
        <v>13</v>
      </c>
      <c r="D63" s="37">
        <f>'7s'!C11</f>
        <v>36</v>
      </c>
      <c r="E63" s="38">
        <f t="shared" ref="E63:E72" si="16">SUM(C63:D63)</f>
        <v>49</v>
      </c>
      <c r="F63" s="38" t="str">
        <f>IF(E63&gt;=80,"A+",
IF(E63&gt;=70,"A",
IF(E63&gt;=60,"A-",
IF(E63&gt;=50,"B",
IF(E63&gt;=40,"C",
IF(E63&gt;=33,"D","F"))))))
</f>
        <v>C</v>
      </c>
      <c r="G63" s="38">
        <f>IF(E63&gt;=80,5,
IF(E63&gt;=70,4,
IF(E63&gt;=60,3.5,
IF(E63&gt;=50,3,
IF(E63&gt;=40,2,
IF(E63&gt;=33,1,0))))))</f>
        <v>2</v>
      </c>
      <c r="H63" s="40">
        <f>AVERAGE(
VALUE(G63),
VALUE(G64),
VALUE(G65),
VALUE(G66),
VALUE(G67),
VALUE(G68),
VALUE(G69),
VALUE(G70),
VALUE(G71),
VALUE(G72))</f>
        <v>2.85</v>
      </c>
    </row>
    <row r="64">
      <c r="A64" s="5"/>
      <c r="B64" s="37" t="s">
        <v>45</v>
      </c>
      <c r="C64" s="37" t="str">
        <f>'7t'!D11</f>
        <v/>
      </c>
      <c r="D64" s="37">
        <f>'7s'!D11</f>
        <v>18</v>
      </c>
      <c r="E64" s="38">
        <f t="shared" si="16"/>
        <v>18</v>
      </c>
      <c r="F64" s="38" t="str">
        <f>IF(E64&gt;=40,"A+",
IF(E64&gt;=35,"A",
IF(E64&gt;=30,"A-",
IF(E64&gt;=25,"B",
IF(E64&gt;=20,"C",
IF(E64&gt;=16,"D","F"))))))
</f>
        <v>D</v>
      </c>
      <c r="G64" s="38">
        <f>IF(E64&gt;=40,5,
IF(E64&gt;=35,4,
IF(E64&gt;=30,3.5,
IF(E64&gt;=25,3,
IF(E64&gt;=20,2,
IF(E64&gt;=16,1,0))))))</f>
        <v>1</v>
      </c>
      <c r="H64" s="41"/>
    </row>
    <row r="65">
      <c r="A65" s="5"/>
      <c r="B65" s="37" t="s">
        <v>57</v>
      </c>
      <c r="C65" s="37">
        <f>'7t'!E11</f>
        <v>27</v>
      </c>
      <c r="D65" s="37">
        <f>'7s'!E11</f>
        <v>30</v>
      </c>
      <c r="E65" s="38">
        <f t="shared" si="16"/>
        <v>57</v>
      </c>
      <c r="F65" s="38" t="str">
        <f>IF(E65&gt;=80,"A+",
IF(E65&gt;=70,"A",
IF(E65&gt;=60,"A-",
IF(E65&gt;=50,"B",
IF(E65&gt;=40,"C",
IF(E65&gt;=33,"D","F"))))))
</f>
        <v>B</v>
      </c>
      <c r="G65" s="38">
        <f>IF(E65&gt;=80,5,
IF(E65&gt;=70,4,
IF(E65&gt;=60,3.5,
IF(E65&gt;=50,3,
IF(E65&gt;=40,2,
IF(E65&gt;=33,1,0))))))</f>
        <v>3</v>
      </c>
      <c r="H65" s="41"/>
    </row>
    <row r="66">
      <c r="A66" s="5"/>
      <c r="B66" s="37" t="s">
        <v>58</v>
      </c>
      <c r="C66" s="37" t="str">
        <f>'7t'!F11</f>
        <v/>
      </c>
      <c r="D66" s="37">
        <f>'7s'!F11</f>
        <v>33</v>
      </c>
      <c r="E66" s="38">
        <f t="shared" si="16"/>
        <v>33</v>
      </c>
      <c r="F66" s="38" t="str">
        <f>IF(E66&gt;=40,"A+",
IF(E66&gt;=35,"A",
IF(E66&gt;=30,"A-",
IF(E66&gt;=25,"B",
IF(E66&gt;=20,"C",
IF(E66&gt;=16,"D","F"))))))
</f>
        <v>A-</v>
      </c>
      <c r="G66" s="38">
        <f>IF(E66&gt;=40,5,
IF(E66&gt;=35,4,
IF(E66&gt;=30,3.5,
IF(E66&gt;=25,3,
IF(E66&gt;=20,2,
IF(E66&gt;=16,1,0))))))</f>
        <v>3.5</v>
      </c>
      <c r="H66" s="41"/>
    </row>
    <row r="67">
      <c r="A67" s="5"/>
      <c r="B67" s="38" t="s">
        <v>40</v>
      </c>
      <c r="C67" s="37">
        <f>'7t'!G11</f>
        <v>20</v>
      </c>
      <c r="D67" s="37">
        <f>'7s'!G11</f>
        <v>62</v>
      </c>
      <c r="E67" s="38">
        <f t="shared" si="16"/>
        <v>82</v>
      </c>
      <c r="F67" s="38" t="str">
        <f t="shared" ref="F67:F71" si="17">IF(E67&gt;=80,"A+",
IF(E67&gt;=70,"A",
IF(E67&gt;=60,"A-",
IF(E67&gt;=50,"B",
IF(E67&gt;=40,"C",
IF(E67&gt;=33,"D","F"))))))
</f>
        <v>A+</v>
      </c>
      <c r="G67" s="38">
        <f t="shared" ref="G67:G71" si="18">IF(E67&gt;=80,5,
IF(E67&gt;=70,4,
IF(E67&gt;=60,3.5,
IF(E67&gt;=50,3,
IF(E67&gt;=40,2,
IF(E67&gt;=33,1,0))))))</f>
        <v>5</v>
      </c>
      <c r="H67" s="41"/>
    </row>
    <row r="68">
      <c r="A68" s="5"/>
      <c r="B68" s="38" t="s">
        <v>41</v>
      </c>
      <c r="C68" s="38">
        <f>'7t'!H11</f>
        <v>22</v>
      </c>
      <c r="D68" s="38">
        <f>'7s'!H11</f>
        <v>31</v>
      </c>
      <c r="E68" s="38">
        <f t="shared" si="16"/>
        <v>53</v>
      </c>
      <c r="F68" s="38" t="str">
        <f t="shared" si="17"/>
        <v>B</v>
      </c>
      <c r="G68" s="38">
        <f t="shared" si="18"/>
        <v>3</v>
      </c>
      <c r="H68" s="41"/>
    </row>
    <row r="69">
      <c r="A69" s="5"/>
      <c r="B69" s="38" t="s">
        <v>10</v>
      </c>
      <c r="C69" s="38">
        <f>'7t'!I11</f>
        <v>13</v>
      </c>
      <c r="D69" s="38">
        <f>'7s'!I11</f>
        <v>32</v>
      </c>
      <c r="E69" s="38">
        <f t="shared" si="16"/>
        <v>45</v>
      </c>
      <c r="F69" s="38" t="str">
        <f t="shared" si="17"/>
        <v>C</v>
      </c>
      <c r="G69" s="38">
        <f t="shared" si="18"/>
        <v>2</v>
      </c>
      <c r="H69" s="41"/>
    </row>
    <row r="70">
      <c r="A70" s="5"/>
      <c r="B70" s="37" t="s">
        <v>48</v>
      </c>
      <c r="C70" s="38">
        <f>'7t'!J11</f>
        <v>21</v>
      </c>
      <c r="D70" s="38">
        <f>'7s'!J11</f>
        <v>43</v>
      </c>
      <c r="E70" s="38">
        <f t="shared" si="16"/>
        <v>64</v>
      </c>
      <c r="F70" s="38" t="str">
        <f t="shared" si="17"/>
        <v>A-</v>
      </c>
      <c r="G70" s="38">
        <f t="shared" si="18"/>
        <v>3.5</v>
      </c>
      <c r="H70" s="41"/>
    </row>
    <row r="71">
      <c r="A71" s="5"/>
      <c r="B71" s="38" t="s">
        <v>11</v>
      </c>
      <c r="C71" s="38">
        <f>'7t'!K11</f>
        <v>14</v>
      </c>
      <c r="D71" s="38">
        <f>'7s'!K11</f>
        <v>33</v>
      </c>
      <c r="E71" s="38">
        <f t="shared" si="16"/>
        <v>47</v>
      </c>
      <c r="F71" s="38" t="str">
        <f t="shared" si="17"/>
        <v>C</v>
      </c>
      <c r="G71" s="38">
        <f t="shared" si="18"/>
        <v>2</v>
      </c>
      <c r="H71" s="41"/>
    </row>
    <row r="72">
      <c r="A72" s="8"/>
      <c r="B72" s="37" t="s">
        <v>49</v>
      </c>
      <c r="C72" s="38">
        <f>'7t'!L11</f>
        <v>15</v>
      </c>
      <c r="D72" s="38">
        <f>'7s'!L11</f>
        <v>15</v>
      </c>
      <c r="E72" s="38">
        <f t="shared" si="16"/>
        <v>30</v>
      </c>
      <c r="F72" s="38" t="str">
        <f>IF(E72&gt;=40,"A+",
IF(E72&gt;=35,"A",
IF(E72&gt;=30,"A-",
IF(E72&gt;=25,"B",
IF(E72&gt;=20,"C",
IF(E72&gt;=16,"D","F"))))))
</f>
        <v>A-</v>
      </c>
      <c r="G72" s="38">
        <f>IF(E72&gt;=40,5,
IF(E72&gt;=35,4,
IF(E72&gt;=30,3.5,
IF(E72&gt;=25,3,
IF(E72&gt;=20,2,
IF(E72&gt;=16,1,0))))))</f>
        <v>3.5</v>
      </c>
      <c r="H72" s="12"/>
    </row>
  </sheetData>
  <mergeCells count="18">
    <mergeCell ref="H15:H24"/>
    <mergeCell ref="H27:H36"/>
    <mergeCell ref="H39:H48"/>
    <mergeCell ref="H51:H60"/>
    <mergeCell ref="H63:H72"/>
    <mergeCell ref="A26:A36"/>
    <mergeCell ref="A38:A48"/>
    <mergeCell ref="A50:A60"/>
    <mergeCell ref="A62:A72"/>
    <mergeCell ref="C49:H49"/>
    <mergeCell ref="C61:H61"/>
    <mergeCell ref="C1:H1"/>
    <mergeCell ref="A2:A12"/>
    <mergeCell ref="H3:H12"/>
    <mergeCell ref="C13:H13"/>
    <mergeCell ref="A14:A24"/>
    <mergeCell ref="C25:H25"/>
    <mergeCell ref="C37:H3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75"/>
    <col customWidth="1" min="2" max="2" width="22.63"/>
    <col customWidth="1" min="3" max="3" width="17.5"/>
    <col customWidth="1" min="4" max="4" width="17.0"/>
    <col customWidth="1" min="5" max="22" width="14.38"/>
  </cols>
  <sheetData>
    <row r="1" ht="26.25" customHeight="1">
      <c r="A1" s="43" t="s">
        <v>0</v>
      </c>
      <c r="B1" s="23"/>
      <c r="C1" s="23"/>
      <c r="D1" s="2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15.75" customHeight="1">
      <c r="A2" s="44" t="s">
        <v>42</v>
      </c>
      <c r="B2" s="23"/>
      <c r="C2" s="23"/>
      <c r="D2" s="24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ht="15.75" customHeight="1">
      <c r="A3" s="45" t="s">
        <v>60</v>
      </c>
      <c r="B3" s="23"/>
      <c r="C3" s="23"/>
      <c r="D3" s="24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ht="15.75" customHeight="1">
      <c r="A4" s="20" t="s">
        <v>3</v>
      </c>
      <c r="B4" s="21" t="s">
        <v>4</v>
      </c>
      <c r="C4" s="22" t="s">
        <v>13</v>
      </c>
      <c r="D4" s="2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ht="15.75" customHeight="1">
      <c r="A5" s="12"/>
      <c r="B5" s="12"/>
      <c r="C5" s="14" t="s">
        <v>38</v>
      </c>
      <c r="D5" s="14" t="s">
        <v>13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ht="15.75" customHeight="1">
      <c r="A6" s="15">
        <v>1.0</v>
      </c>
      <c r="B6" s="16" t="s">
        <v>61</v>
      </c>
      <c r="C6" s="46">
        <f>'7'!H3</f>
        <v>4.4</v>
      </c>
      <c r="D6" s="15">
        <f t="shared" ref="D6:D11" si="1">RANK(C6,$C$6:$C$11)</f>
        <v>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ht="15.75" customHeight="1">
      <c r="A7" s="15">
        <v>2.0</v>
      </c>
      <c r="B7" s="16" t="s">
        <v>62</v>
      </c>
      <c r="C7" s="46">
        <f>'7'!H15</f>
        <v>3.9</v>
      </c>
      <c r="D7" s="15">
        <f t="shared" si="1"/>
        <v>2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ht="15.75" customHeight="1">
      <c r="A8" s="15">
        <v>3.0</v>
      </c>
      <c r="B8" s="16" t="s">
        <v>63</v>
      </c>
      <c r="C8" s="46">
        <f>'7'!H27</f>
        <v>1.2</v>
      </c>
      <c r="D8" s="15">
        <f t="shared" si="1"/>
        <v>4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ht="15.75" customHeight="1">
      <c r="A9" s="15">
        <v>4.0</v>
      </c>
      <c r="B9" s="16" t="s">
        <v>64</v>
      </c>
      <c r="C9" s="46">
        <f>'7'!H39</f>
        <v>0</v>
      </c>
      <c r="D9" s="15">
        <f t="shared" si="1"/>
        <v>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ht="15.75" customHeight="1">
      <c r="A10" s="15">
        <v>5.0</v>
      </c>
      <c r="B10" s="16" t="s">
        <v>65</v>
      </c>
      <c r="C10" s="46">
        <f>'7'!H51</f>
        <v>1.1</v>
      </c>
      <c r="D10" s="15">
        <f t="shared" si="1"/>
        <v>5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ht="15.75" customHeight="1">
      <c r="A11" s="15">
        <v>6.0</v>
      </c>
      <c r="B11" s="16" t="s">
        <v>66</v>
      </c>
      <c r="C11" s="46">
        <f>'7'!H63</f>
        <v>2.85</v>
      </c>
      <c r="D11" s="15">
        <f t="shared" si="1"/>
        <v>3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ht="15.75" customHeight="1">
      <c r="A12" s="19"/>
      <c r="B12" s="27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ht="15.75" customHeight="1">
      <c r="A13" s="19"/>
      <c r="B13" s="27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ht="15.75" customHeight="1">
      <c r="A14" s="19"/>
      <c r="B14" s="27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ht="15.75" customHeight="1">
      <c r="A15" s="19"/>
      <c r="B15" s="27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ht="15.75" customHeight="1">
      <c r="A16" s="19"/>
      <c r="B16" s="27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ht="15.75" customHeight="1">
      <c r="A17" s="19"/>
      <c r="B17" s="27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ht="15.75" customHeight="1">
      <c r="A18" s="19"/>
      <c r="B18" s="2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ht="15.75" customHeight="1">
      <c r="A19" s="19"/>
      <c r="B19" s="27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15.75" customHeight="1">
      <c r="A20" s="19"/>
      <c r="B20" s="27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15.75" customHeight="1">
      <c r="A21" s="19"/>
      <c r="B21" s="27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15.75" customHeight="1">
      <c r="A22" s="19"/>
      <c r="B22" s="27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15.75" customHeight="1">
      <c r="A23" s="19"/>
      <c r="B23" s="27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15.75" customHeight="1">
      <c r="A24" s="19"/>
      <c r="B24" s="27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15.75" customHeight="1">
      <c r="A25" s="19"/>
      <c r="B25" s="27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15.75" customHeight="1">
      <c r="A26" s="19"/>
      <c r="B26" s="27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15.75" customHeight="1">
      <c r="A27" s="19"/>
      <c r="B27" s="27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15.75" customHeight="1">
      <c r="A28" s="19"/>
      <c r="B28" s="27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15.75" customHeight="1">
      <c r="A29" s="19"/>
      <c r="B29" s="27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15.75" customHeight="1">
      <c r="A30" s="19"/>
      <c r="B30" s="27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15.75" customHeight="1">
      <c r="A31" s="19"/>
      <c r="B31" s="27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15.75" customHeight="1">
      <c r="A32" s="19"/>
      <c r="B32" s="27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15.75" customHeight="1">
      <c r="A33" s="19"/>
      <c r="B33" s="27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5.75" customHeight="1">
      <c r="A34" s="19"/>
      <c r="B34" s="27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15.75" customHeight="1">
      <c r="A35" s="19"/>
      <c r="B35" s="2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75" customHeight="1">
      <c r="A36" s="19"/>
      <c r="B36" s="2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75" customHeight="1">
      <c r="A37" s="19"/>
      <c r="B37" s="27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5.75" customHeight="1">
      <c r="A38" s="19"/>
      <c r="B38" s="27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5.75" customHeight="1">
      <c r="A39" s="19"/>
      <c r="B39" s="27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75" customHeight="1">
      <c r="A40" s="19"/>
      <c r="B40" s="27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15.75" customHeight="1">
      <c r="A41" s="19"/>
      <c r="B41" s="27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75" customHeight="1">
      <c r="A42" s="19"/>
      <c r="B42" s="27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5.75" customHeight="1">
      <c r="A43" s="19"/>
      <c r="B43" s="27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15.75" customHeight="1">
      <c r="A44" s="19"/>
      <c r="B44" s="27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15.75" customHeight="1">
      <c r="A45" s="19"/>
      <c r="B45" s="27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5.75" customHeight="1">
      <c r="A46" s="19"/>
      <c r="B46" s="27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5.75" customHeight="1">
      <c r="A47" s="19"/>
      <c r="B47" s="27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75" customHeight="1">
      <c r="A48" s="19"/>
      <c r="B48" s="27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5.75" customHeight="1">
      <c r="A49" s="19"/>
      <c r="B49" s="27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5.75" customHeight="1">
      <c r="A50" s="19"/>
      <c r="B50" s="27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75" customHeight="1">
      <c r="A51" s="19"/>
      <c r="B51" s="27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75" customHeight="1">
      <c r="A52" s="19"/>
      <c r="B52" s="27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15.75" customHeight="1">
      <c r="A53" s="19"/>
      <c r="B53" s="27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15.75" customHeight="1">
      <c r="A54" s="19"/>
      <c r="B54" s="27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15.75" customHeight="1">
      <c r="A55" s="19"/>
      <c r="B55" s="27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15.75" customHeight="1">
      <c r="A56" s="19"/>
      <c r="B56" s="27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15.75" customHeight="1">
      <c r="A57" s="19"/>
      <c r="B57" s="27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15.75" customHeight="1">
      <c r="A58" s="19"/>
      <c r="B58" s="27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15.75" customHeight="1">
      <c r="A59" s="19"/>
      <c r="B59" s="27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75" customHeight="1">
      <c r="A60" s="19"/>
      <c r="B60" s="27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75" customHeight="1">
      <c r="A61" s="19"/>
      <c r="B61" s="27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15.75" customHeight="1">
      <c r="A62" s="19"/>
      <c r="B62" s="27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5.75" customHeight="1">
      <c r="A63" s="19"/>
      <c r="B63" s="27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5.75" customHeight="1">
      <c r="A64" s="19"/>
      <c r="B64" s="27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15.75" customHeight="1">
      <c r="A65" s="19"/>
      <c r="B65" s="27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15.75" customHeight="1">
      <c r="A66" s="19"/>
      <c r="B66" s="27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5.75" customHeight="1">
      <c r="A67" s="19"/>
      <c r="B67" s="27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75" customHeight="1">
      <c r="A68" s="19"/>
      <c r="B68" s="27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75" customHeight="1">
      <c r="A69" s="19"/>
      <c r="B69" s="27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5.75" customHeight="1">
      <c r="A70" s="19"/>
      <c r="B70" s="27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5.75" customHeight="1">
      <c r="A71" s="19"/>
      <c r="B71" s="27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5.75" customHeight="1">
      <c r="A72" s="19"/>
      <c r="B72" s="27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5.75" customHeight="1">
      <c r="A73" s="19"/>
      <c r="B73" s="27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5.75" customHeight="1">
      <c r="A74" s="19"/>
      <c r="B74" s="27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5.75" customHeight="1">
      <c r="A75" s="19"/>
      <c r="B75" s="27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5.75" customHeight="1">
      <c r="A76" s="19"/>
      <c r="B76" s="27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5.75" customHeight="1">
      <c r="A77" s="19"/>
      <c r="B77" s="27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75" customHeight="1">
      <c r="A78" s="19"/>
      <c r="B78" s="27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5.75" customHeight="1">
      <c r="A79" s="19"/>
      <c r="B79" s="27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5.75" customHeight="1">
      <c r="A80" s="19"/>
      <c r="B80" s="27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5.75" customHeight="1">
      <c r="A81" s="19"/>
      <c r="B81" s="27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15.75" customHeight="1">
      <c r="A82" s="19"/>
      <c r="B82" s="27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15.75" customHeight="1">
      <c r="A83" s="19"/>
      <c r="B83" s="27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15.75" customHeight="1">
      <c r="A84" s="19"/>
      <c r="B84" s="27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15.75" customHeight="1">
      <c r="A85" s="19"/>
      <c r="B85" s="27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5.75" customHeight="1">
      <c r="A86" s="19"/>
      <c r="B86" s="27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15.75" customHeight="1">
      <c r="A87" s="19"/>
      <c r="B87" s="27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15.75" customHeight="1">
      <c r="A88" s="19"/>
      <c r="B88" s="27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15.75" customHeight="1">
      <c r="A89" s="19"/>
      <c r="B89" s="27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15.75" customHeight="1">
      <c r="A90" s="19"/>
      <c r="B90" s="27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5.75" customHeight="1">
      <c r="A91" s="19"/>
      <c r="B91" s="27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15.75" customHeight="1">
      <c r="A92" s="19"/>
      <c r="B92" s="27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15.75" customHeight="1">
      <c r="A93" s="19"/>
      <c r="B93" s="27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75" customHeight="1">
      <c r="A94" s="19"/>
      <c r="B94" s="27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75" customHeight="1">
      <c r="A95" s="19"/>
      <c r="B95" s="27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5.75" customHeight="1">
      <c r="A96" s="19"/>
      <c r="B96" s="27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5.75" customHeight="1">
      <c r="A97" s="19"/>
      <c r="B97" s="27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5.75" customHeight="1">
      <c r="A98" s="19"/>
      <c r="B98" s="27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5.75" customHeight="1">
      <c r="A99" s="19"/>
      <c r="B99" s="27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5.75" customHeight="1">
      <c r="A100" s="19"/>
      <c r="B100" s="27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75" customHeight="1">
      <c r="A101" s="19"/>
      <c r="B101" s="27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5.75" customHeight="1">
      <c r="A102" s="19"/>
      <c r="B102" s="27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15.75" customHeight="1">
      <c r="A103" s="19"/>
      <c r="B103" s="27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5.75" customHeight="1">
      <c r="A104" s="19"/>
      <c r="B104" s="27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15.75" customHeight="1">
      <c r="A105" s="19"/>
      <c r="B105" s="27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15.75" customHeight="1">
      <c r="A106" s="19"/>
      <c r="B106" s="27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15.75" customHeight="1">
      <c r="A107" s="19"/>
      <c r="B107" s="27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15.75" customHeight="1">
      <c r="A108" s="19"/>
      <c r="B108" s="27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15.75" customHeight="1">
      <c r="A109" s="19"/>
      <c r="B109" s="27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15.75" customHeight="1">
      <c r="A110" s="19"/>
      <c r="B110" s="27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15.75" customHeight="1">
      <c r="A111" s="19"/>
      <c r="B111" s="27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15.75" customHeight="1">
      <c r="A112" s="19"/>
      <c r="B112" s="27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75" customHeight="1">
      <c r="A113" s="19"/>
      <c r="B113" s="27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15.75" customHeight="1">
      <c r="A114" s="19"/>
      <c r="B114" s="27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15.75" customHeight="1">
      <c r="A115" s="19"/>
      <c r="B115" s="27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15.75" customHeight="1">
      <c r="A116" s="19"/>
      <c r="B116" s="27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15.75" customHeight="1">
      <c r="A117" s="19"/>
      <c r="B117" s="27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5.75" customHeight="1">
      <c r="A118" s="19"/>
      <c r="B118" s="27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15.75" customHeight="1">
      <c r="A119" s="19"/>
      <c r="B119" s="27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5.75" customHeight="1">
      <c r="A120" s="19"/>
      <c r="B120" s="27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5.75" customHeight="1">
      <c r="A121" s="19"/>
      <c r="B121" s="27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15.75" customHeight="1">
      <c r="A122" s="19"/>
      <c r="B122" s="27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15.75" customHeight="1">
      <c r="A123" s="19"/>
      <c r="B123" s="27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15.75" customHeight="1">
      <c r="A124" s="19"/>
      <c r="B124" s="27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15.75" customHeight="1">
      <c r="A125" s="19"/>
      <c r="B125" s="27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5.75" customHeight="1">
      <c r="A126" s="19"/>
      <c r="B126" s="27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5.75" customHeight="1">
      <c r="A127" s="19"/>
      <c r="B127" s="27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15.75" customHeight="1">
      <c r="A128" s="19"/>
      <c r="B128" s="27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5.75" customHeight="1">
      <c r="A129" s="19"/>
      <c r="B129" s="27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5.75" customHeight="1">
      <c r="A130" s="19"/>
      <c r="B130" s="27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15.75" customHeight="1">
      <c r="A131" s="19"/>
      <c r="B131" s="27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15.75" customHeight="1">
      <c r="A132" s="19"/>
      <c r="B132" s="27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15.75" customHeight="1">
      <c r="A133" s="19"/>
      <c r="B133" s="27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5.75" customHeight="1">
      <c r="A134" s="19"/>
      <c r="B134" s="27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15.75" customHeight="1">
      <c r="A135" s="19"/>
      <c r="B135" s="27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15.75" customHeight="1">
      <c r="A136" s="19"/>
      <c r="B136" s="27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15.75" customHeight="1">
      <c r="A137" s="19"/>
      <c r="B137" s="27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5.75" customHeight="1">
      <c r="A138" s="19"/>
      <c r="B138" s="27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15.75" customHeight="1">
      <c r="A139" s="19"/>
      <c r="B139" s="27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15.75" customHeight="1">
      <c r="A140" s="19"/>
      <c r="B140" s="27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15.75" customHeight="1">
      <c r="A141" s="19"/>
      <c r="B141" s="27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15.75" customHeight="1">
      <c r="A142" s="19"/>
      <c r="B142" s="27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15.75" customHeight="1">
      <c r="A143" s="19"/>
      <c r="B143" s="27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5.75" customHeight="1">
      <c r="A144" s="19"/>
      <c r="B144" s="27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15.75" customHeight="1">
      <c r="A145" s="19"/>
      <c r="B145" s="27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15.75" customHeight="1">
      <c r="A146" s="19"/>
      <c r="B146" s="27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15.75" customHeight="1">
      <c r="A147" s="19"/>
      <c r="B147" s="27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15.75" customHeight="1">
      <c r="A148" s="19"/>
      <c r="B148" s="27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15.75" customHeight="1">
      <c r="A149" s="19"/>
      <c r="B149" s="27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15.75" customHeight="1">
      <c r="A150" s="19"/>
      <c r="B150" s="27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15.75" customHeight="1">
      <c r="A151" s="19"/>
      <c r="B151" s="27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15.75" customHeight="1">
      <c r="A152" s="19"/>
      <c r="B152" s="27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15.75" customHeight="1">
      <c r="A153" s="19"/>
      <c r="B153" s="27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15.75" customHeight="1">
      <c r="A154" s="19"/>
      <c r="B154" s="27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15.75" customHeight="1">
      <c r="A155" s="19"/>
      <c r="B155" s="27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15.75" customHeight="1">
      <c r="A156" s="19"/>
      <c r="B156" s="27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15.75" customHeight="1">
      <c r="A157" s="19"/>
      <c r="B157" s="27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15.75" customHeight="1">
      <c r="A158" s="19"/>
      <c r="B158" s="27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15.75" customHeight="1">
      <c r="A159" s="19"/>
      <c r="B159" s="27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15.75" customHeight="1">
      <c r="A160" s="19"/>
      <c r="B160" s="27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15.75" customHeight="1">
      <c r="A161" s="19"/>
      <c r="B161" s="27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15.75" customHeight="1">
      <c r="A162" s="19"/>
      <c r="B162" s="27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15.75" customHeight="1">
      <c r="A163" s="19"/>
      <c r="B163" s="27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15.75" customHeight="1">
      <c r="A164" s="19"/>
      <c r="B164" s="27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15.75" customHeight="1">
      <c r="A165" s="19"/>
      <c r="B165" s="27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15.75" customHeight="1">
      <c r="A166" s="19"/>
      <c r="B166" s="27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15.75" customHeight="1">
      <c r="A167" s="19"/>
      <c r="B167" s="27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15.75" customHeight="1">
      <c r="A168" s="19"/>
      <c r="B168" s="27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15.75" customHeight="1">
      <c r="A169" s="19"/>
      <c r="B169" s="27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15.75" customHeight="1">
      <c r="A170" s="19"/>
      <c r="B170" s="27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15.75" customHeight="1">
      <c r="A171" s="19"/>
      <c r="B171" s="27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15.75" customHeight="1">
      <c r="A172" s="19"/>
      <c r="B172" s="27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15.75" customHeight="1">
      <c r="A173" s="19"/>
      <c r="B173" s="27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15.75" customHeight="1">
      <c r="A174" s="19"/>
      <c r="B174" s="27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15.75" customHeight="1">
      <c r="A175" s="19"/>
      <c r="B175" s="27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15.75" customHeight="1">
      <c r="A176" s="19"/>
      <c r="B176" s="27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15.75" customHeight="1">
      <c r="A177" s="19"/>
      <c r="B177" s="27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15.75" customHeight="1">
      <c r="A178" s="19"/>
      <c r="B178" s="27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15.75" customHeight="1">
      <c r="A179" s="19"/>
      <c r="B179" s="27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15.75" customHeight="1">
      <c r="A180" s="19"/>
      <c r="B180" s="27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15.75" customHeight="1">
      <c r="A181" s="19"/>
      <c r="B181" s="27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15.75" customHeight="1">
      <c r="A182" s="19"/>
      <c r="B182" s="27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15.75" customHeight="1">
      <c r="A183" s="19"/>
      <c r="B183" s="27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15.75" customHeight="1">
      <c r="A184" s="19"/>
      <c r="B184" s="27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15.75" customHeight="1">
      <c r="A185" s="19"/>
      <c r="B185" s="27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15.75" customHeight="1">
      <c r="A186" s="19"/>
      <c r="B186" s="27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15.75" customHeight="1">
      <c r="A187" s="19"/>
      <c r="B187" s="27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15.75" customHeight="1">
      <c r="A188" s="19"/>
      <c r="B188" s="27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15.75" customHeight="1">
      <c r="A189" s="19"/>
      <c r="B189" s="27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15.75" customHeight="1">
      <c r="A190" s="19"/>
      <c r="B190" s="27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15.75" customHeight="1">
      <c r="A191" s="19"/>
      <c r="B191" s="27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15.75" customHeight="1">
      <c r="A192" s="19"/>
      <c r="B192" s="27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15.75" customHeight="1">
      <c r="A193" s="19"/>
      <c r="B193" s="27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15.75" customHeight="1">
      <c r="A194" s="19"/>
      <c r="B194" s="27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15.75" customHeight="1">
      <c r="A195" s="19"/>
      <c r="B195" s="27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15.75" customHeight="1">
      <c r="A196" s="19"/>
      <c r="B196" s="27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15.75" customHeight="1">
      <c r="A197" s="19"/>
      <c r="B197" s="27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15.75" customHeight="1">
      <c r="A198" s="19"/>
      <c r="B198" s="27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15.75" customHeight="1">
      <c r="A199" s="19"/>
      <c r="B199" s="27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15.75" customHeight="1">
      <c r="A200" s="19"/>
      <c r="B200" s="27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15.75" customHeight="1">
      <c r="A201" s="19"/>
      <c r="B201" s="27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15.75" customHeight="1">
      <c r="A202" s="19"/>
      <c r="B202" s="27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15.75" customHeight="1">
      <c r="A203" s="19"/>
      <c r="B203" s="27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15.75" customHeight="1">
      <c r="A204" s="19"/>
      <c r="B204" s="27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15.75" customHeight="1">
      <c r="A205" s="19"/>
      <c r="B205" s="27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15.75" customHeight="1">
      <c r="A206" s="19"/>
      <c r="B206" s="27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15.75" customHeight="1">
      <c r="A207" s="19"/>
      <c r="B207" s="27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15.75" customHeight="1">
      <c r="A208" s="19"/>
      <c r="B208" s="27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15.75" customHeight="1">
      <c r="A209" s="28"/>
      <c r="B209" s="2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 ht="15.75" customHeight="1">
      <c r="A210" s="28"/>
      <c r="B210" s="2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ht="15.75" customHeight="1">
      <c r="A211" s="28"/>
      <c r="B211" s="2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ht="15.75" customHeight="1">
      <c r="A212" s="28"/>
      <c r="B212" s="2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ht="15.75" customHeight="1">
      <c r="A213" s="28"/>
      <c r="B213" s="2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ht="15.75" customHeight="1">
      <c r="A214" s="28"/>
      <c r="B214" s="2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ht="15.75" customHeight="1">
      <c r="A215" s="28"/>
      <c r="B215" s="2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ht="15.75" customHeight="1">
      <c r="A216" s="28"/>
      <c r="B216" s="2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ht="15.75" customHeight="1">
      <c r="A217" s="28"/>
      <c r="B217" s="2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ht="15.75" customHeight="1">
      <c r="A218" s="28"/>
      <c r="B218" s="2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ht="15.75" customHeight="1">
      <c r="A219" s="28"/>
      <c r="B219" s="2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ht="15.75" customHeight="1">
      <c r="A220" s="28"/>
      <c r="B220" s="2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 ht="15.75" customHeight="1">
      <c r="A221" s="28"/>
      <c r="B221" s="2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 ht="15.75" customHeight="1">
      <c r="A222" s="28"/>
      <c r="B222" s="2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ht="15.75" customHeight="1">
      <c r="A223" s="28"/>
      <c r="B223" s="2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 ht="15.75" customHeight="1">
      <c r="A224" s="28"/>
      <c r="B224" s="2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 ht="15.75" customHeight="1">
      <c r="A225" s="28"/>
      <c r="B225" s="2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 ht="15.75" customHeight="1">
      <c r="A226" s="28"/>
      <c r="B226" s="2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 ht="15.75" customHeight="1">
      <c r="A227" s="28"/>
      <c r="B227" s="2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 ht="15.75" customHeight="1">
      <c r="A228" s="28"/>
      <c r="B228" s="2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 ht="15.75" customHeight="1">
      <c r="A229" s="28"/>
      <c r="B229" s="2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 ht="15.75" customHeight="1">
      <c r="A230" s="28"/>
      <c r="B230" s="2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 ht="15.75" customHeight="1">
      <c r="A231" s="28"/>
      <c r="B231" s="2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 ht="15.75" customHeight="1">
      <c r="A232" s="28"/>
      <c r="B232" s="2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 ht="15.75" customHeight="1">
      <c r="A233" s="28"/>
      <c r="B233" s="2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 ht="15.75" customHeight="1">
      <c r="A234" s="28"/>
      <c r="B234" s="2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 ht="15.75" customHeight="1">
      <c r="A235" s="28"/>
      <c r="B235" s="2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 ht="15.75" customHeight="1">
      <c r="A236" s="28"/>
      <c r="B236" s="2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 ht="15.75" customHeight="1">
      <c r="A237" s="28"/>
      <c r="B237" s="2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 ht="15.75" customHeight="1">
      <c r="A238" s="28"/>
      <c r="B238" s="2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 ht="15.75" customHeight="1">
      <c r="A239" s="28"/>
      <c r="B239" s="2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 ht="15.75" customHeight="1">
      <c r="A240" s="28"/>
      <c r="B240" s="2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 ht="15.75" customHeight="1">
      <c r="A241" s="28"/>
      <c r="B241" s="2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 ht="15.75" customHeight="1">
      <c r="A242" s="28"/>
      <c r="B242" s="2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 ht="15.75" customHeight="1">
      <c r="A243" s="28"/>
      <c r="B243" s="2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 ht="15.75" customHeight="1">
      <c r="A244" s="28"/>
      <c r="B244" s="2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 ht="15.75" customHeight="1">
      <c r="A245" s="28"/>
      <c r="B245" s="2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 ht="15.75" customHeight="1">
      <c r="A246" s="28"/>
      <c r="B246" s="2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 ht="15.75" customHeight="1">
      <c r="A247" s="28"/>
      <c r="B247" s="2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 ht="15.75" customHeight="1">
      <c r="A248" s="28"/>
      <c r="B248" s="2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 ht="15.75" customHeight="1">
      <c r="A249" s="28"/>
      <c r="B249" s="2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 ht="15.75" customHeight="1">
      <c r="A250" s="28"/>
      <c r="B250" s="2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 ht="15.75" customHeight="1">
      <c r="A251" s="28"/>
      <c r="B251" s="2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 ht="15.75" customHeight="1">
      <c r="A252" s="28"/>
      <c r="B252" s="2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 ht="15.75" customHeight="1">
      <c r="A253" s="28"/>
      <c r="B253" s="2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 ht="15.75" customHeight="1">
      <c r="A254" s="28"/>
      <c r="B254" s="2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 ht="15.75" customHeight="1">
      <c r="A255" s="28"/>
      <c r="B255" s="2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 ht="15.75" customHeight="1">
      <c r="A256" s="28"/>
      <c r="B256" s="2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 ht="15.75" customHeight="1">
      <c r="A257" s="28"/>
      <c r="B257" s="2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 ht="15.75" customHeight="1">
      <c r="A258" s="28"/>
      <c r="B258" s="2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 ht="15.75" customHeight="1">
      <c r="A259" s="28"/>
      <c r="B259" s="2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 ht="15.75" customHeight="1">
      <c r="A260" s="28"/>
      <c r="B260" s="2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 ht="15.75" customHeight="1">
      <c r="A261" s="28"/>
      <c r="B261" s="2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 ht="15.75" customHeight="1">
      <c r="A262" s="28"/>
      <c r="B262" s="2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 ht="15.75" customHeight="1">
      <c r="A263" s="28"/>
      <c r="B263" s="2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 ht="15.75" customHeight="1">
      <c r="A264" s="28"/>
      <c r="B264" s="2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 ht="15.75" customHeight="1">
      <c r="A265" s="28"/>
      <c r="B265" s="2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 ht="15.75" customHeight="1">
      <c r="A266" s="28"/>
      <c r="B266" s="2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 ht="15.75" customHeight="1">
      <c r="A267" s="28"/>
      <c r="B267" s="2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 ht="15.75" customHeight="1">
      <c r="A268" s="28"/>
      <c r="B268" s="2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 ht="15.75" customHeight="1">
      <c r="A269" s="28"/>
      <c r="B269" s="2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 ht="15.75" customHeight="1">
      <c r="A270" s="28"/>
      <c r="B270" s="2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 ht="15.75" customHeight="1">
      <c r="A271" s="28"/>
      <c r="B271" s="2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 ht="15.75" customHeight="1">
      <c r="A272" s="28"/>
      <c r="B272" s="2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 ht="15.75" customHeight="1">
      <c r="A273" s="28"/>
      <c r="B273" s="2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 ht="15.75" customHeight="1">
      <c r="A274" s="28"/>
      <c r="B274" s="2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 ht="15.75" customHeight="1">
      <c r="A275" s="28"/>
      <c r="B275" s="2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 ht="15.75" customHeight="1">
      <c r="A276" s="28"/>
      <c r="B276" s="2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 ht="15.75" customHeight="1">
      <c r="A277" s="28"/>
      <c r="B277" s="2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 ht="15.75" customHeight="1">
      <c r="A278" s="28"/>
      <c r="B278" s="2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 ht="15.75" customHeight="1">
      <c r="A279" s="28"/>
      <c r="B279" s="2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 ht="15.75" customHeight="1">
      <c r="A280" s="28"/>
      <c r="B280" s="2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 ht="15.75" customHeight="1">
      <c r="A281" s="28"/>
      <c r="B281" s="2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 ht="15.75" customHeight="1">
      <c r="A282" s="28"/>
      <c r="B282" s="2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 ht="15.75" customHeight="1">
      <c r="A283" s="28"/>
      <c r="B283" s="2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 ht="15.75" customHeight="1">
      <c r="A284" s="28"/>
      <c r="B284" s="2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 ht="15.75" customHeight="1">
      <c r="A285" s="28"/>
      <c r="B285" s="2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 ht="15.75" customHeight="1">
      <c r="A286" s="28"/>
      <c r="B286" s="2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 ht="15.75" customHeight="1">
      <c r="A287" s="28"/>
      <c r="B287" s="2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 ht="15.75" customHeight="1">
      <c r="A288" s="28"/>
      <c r="B288" s="2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 ht="15.75" customHeight="1">
      <c r="A289" s="28"/>
      <c r="B289" s="2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 ht="15.75" customHeight="1">
      <c r="A290" s="28"/>
      <c r="B290" s="2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 ht="15.75" customHeight="1">
      <c r="A291" s="28"/>
      <c r="B291" s="2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 ht="15.75" customHeight="1">
      <c r="A292" s="28"/>
      <c r="B292" s="2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 ht="15.75" customHeight="1">
      <c r="A293" s="28"/>
      <c r="B293" s="2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 ht="15.75" customHeight="1">
      <c r="A294" s="28"/>
      <c r="B294" s="2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 ht="15.75" customHeight="1">
      <c r="A295" s="28"/>
      <c r="B295" s="2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 ht="15.75" customHeight="1">
      <c r="A296" s="28"/>
      <c r="B296" s="2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 ht="15.75" customHeight="1">
      <c r="A297" s="28"/>
      <c r="B297" s="2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 ht="15.75" customHeight="1">
      <c r="A298" s="28"/>
      <c r="B298" s="2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 ht="15.75" customHeight="1">
      <c r="A299" s="28"/>
      <c r="B299" s="2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 ht="15.75" customHeight="1">
      <c r="A300" s="28"/>
      <c r="B300" s="2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 ht="15.75" customHeight="1">
      <c r="A301" s="28"/>
      <c r="B301" s="2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 ht="15.75" customHeight="1">
      <c r="A302" s="28"/>
      <c r="B302" s="2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 ht="15.75" customHeight="1">
      <c r="A303" s="28"/>
      <c r="B303" s="2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 ht="15.75" customHeight="1">
      <c r="A304" s="28"/>
      <c r="B304" s="2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 ht="15.75" customHeight="1">
      <c r="A305" s="28"/>
      <c r="B305" s="2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 ht="15.75" customHeight="1">
      <c r="A306" s="28"/>
      <c r="B306" s="2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 ht="15.75" customHeight="1">
      <c r="A307" s="28"/>
      <c r="B307" s="2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 ht="15.75" customHeight="1">
      <c r="A308" s="28"/>
      <c r="B308" s="2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 ht="15.75" customHeight="1">
      <c r="A309" s="28"/>
      <c r="B309" s="2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 ht="15.75" customHeight="1">
      <c r="A310" s="28"/>
      <c r="B310" s="2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 ht="15.75" customHeight="1">
      <c r="A311" s="28"/>
      <c r="B311" s="29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 ht="15.75" customHeight="1">
      <c r="A312" s="28"/>
      <c r="B312" s="29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 ht="15.75" customHeight="1">
      <c r="A313" s="28"/>
      <c r="B313" s="29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 ht="15.75" customHeight="1">
      <c r="A314" s="28"/>
      <c r="B314" s="29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 ht="15.75" customHeight="1">
      <c r="A315" s="28"/>
      <c r="B315" s="29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 ht="15.75" customHeight="1">
      <c r="A316" s="28"/>
      <c r="B316" s="29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 ht="15.75" customHeight="1">
      <c r="A317" s="28"/>
      <c r="B317" s="29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 ht="15.75" customHeight="1">
      <c r="A318" s="28"/>
      <c r="B318" s="29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 ht="15.75" customHeight="1">
      <c r="A319" s="28"/>
      <c r="B319" s="29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 ht="15.75" customHeight="1">
      <c r="A320" s="28"/>
      <c r="B320" s="29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 ht="15.75" customHeight="1">
      <c r="A321" s="28"/>
      <c r="B321" s="29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 ht="15.75" customHeight="1">
      <c r="A322" s="28"/>
      <c r="B322" s="29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 ht="15.75" customHeight="1">
      <c r="A323" s="28"/>
      <c r="B323" s="29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 ht="15.75" customHeight="1">
      <c r="A324" s="28"/>
      <c r="B324" s="29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 ht="15.75" customHeight="1">
      <c r="A325" s="28"/>
      <c r="B325" s="29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 ht="15.75" customHeight="1">
      <c r="A326" s="28"/>
      <c r="B326" s="29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 ht="15.75" customHeight="1">
      <c r="A327" s="28"/>
      <c r="B327" s="29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 ht="15.75" customHeight="1">
      <c r="A328" s="28"/>
      <c r="B328" s="29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 ht="15.75" customHeight="1">
      <c r="A329" s="28"/>
      <c r="B329" s="29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 ht="15.75" customHeight="1">
      <c r="A330" s="28"/>
      <c r="B330" s="29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 ht="15.75" customHeight="1">
      <c r="A331" s="28"/>
      <c r="B331" s="29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 ht="15.75" customHeight="1">
      <c r="A332" s="28"/>
      <c r="B332" s="29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 ht="15.75" customHeight="1">
      <c r="A333" s="28"/>
      <c r="B333" s="29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ht="15.75" customHeight="1">
      <c r="A334" s="28"/>
      <c r="B334" s="29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 ht="15.75" customHeight="1">
      <c r="A335" s="28"/>
      <c r="B335" s="29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 ht="15.75" customHeight="1">
      <c r="A336" s="28"/>
      <c r="B336" s="29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 ht="15.75" customHeight="1">
      <c r="A337" s="28"/>
      <c r="B337" s="29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 ht="15.75" customHeight="1">
      <c r="A338" s="28"/>
      <c r="B338" s="29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 ht="15.75" customHeight="1">
      <c r="A339" s="28"/>
      <c r="B339" s="29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 ht="15.75" customHeight="1">
      <c r="A340" s="28"/>
      <c r="B340" s="29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 ht="15.75" customHeight="1">
      <c r="A341" s="28"/>
      <c r="B341" s="29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 ht="15.75" customHeight="1">
      <c r="A342" s="28"/>
      <c r="B342" s="29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ht="15.75" customHeight="1">
      <c r="A343" s="28"/>
      <c r="B343" s="29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 ht="15.75" customHeight="1">
      <c r="A344" s="28"/>
      <c r="B344" s="29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 ht="15.75" customHeight="1">
      <c r="A345" s="28"/>
      <c r="B345" s="29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 ht="15.75" customHeight="1">
      <c r="A346" s="28"/>
      <c r="B346" s="29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 ht="15.75" customHeight="1">
      <c r="A347" s="28"/>
      <c r="B347" s="29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 ht="15.75" customHeight="1">
      <c r="A348" s="28"/>
      <c r="B348" s="29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 ht="15.75" customHeight="1">
      <c r="A349" s="28"/>
      <c r="B349" s="29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 ht="15.75" customHeight="1">
      <c r="A350" s="28"/>
      <c r="B350" s="29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 ht="15.75" customHeight="1">
      <c r="A351" s="28"/>
      <c r="B351" s="29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ht="15.75" customHeight="1">
      <c r="A352" s="28"/>
      <c r="B352" s="29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 ht="15.75" customHeight="1">
      <c r="A353" s="28"/>
      <c r="B353" s="29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 ht="15.75" customHeight="1">
      <c r="A354" s="28"/>
      <c r="B354" s="29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 ht="15.75" customHeight="1">
      <c r="A355" s="28"/>
      <c r="B355" s="29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 ht="15.75" customHeight="1">
      <c r="A356" s="28"/>
      <c r="B356" s="29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 ht="15.75" customHeight="1">
      <c r="A357" s="28"/>
      <c r="B357" s="29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 ht="15.75" customHeight="1">
      <c r="A358" s="28"/>
      <c r="B358" s="29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 ht="15.75" customHeight="1">
      <c r="A359" s="28"/>
      <c r="B359" s="29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 ht="15.75" customHeight="1">
      <c r="A360" s="28"/>
      <c r="B360" s="29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 ht="15.75" customHeight="1">
      <c r="A361" s="28"/>
      <c r="B361" s="29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 ht="15.75" customHeight="1">
      <c r="A362" s="28"/>
      <c r="B362" s="29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 ht="15.75" customHeight="1">
      <c r="A363" s="28"/>
      <c r="B363" s="29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ht="15.75" customHeight="1">
      <c r="A364" s="28"/>
      <c r="B364" s="29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 ht="15.75" customHeight="1">
      <c r="A365" s="28"/>
      <c r="B365" s="29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 ht="15.75" customHeight="1">
      <c r="A366" s="28"/>
      <c r="B366" s="29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 ht="15.75" customHeight="1">
      <c r="A367" s="28"/>
      <c r="B367" s="29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 ht="15.75" customHeight="1">
      <c r="A368" s="28"/>
      <c r="B368" s="29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 ht="15.75" customHeight="1">
      <c r="A369" s="28"/>
      <c r="B369" s="29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 ht="15.75" customHeight="1">
      <c r="A370" s="28"/>
      <c r="B370" s="29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 ht="15.75" customHeight="1">
      <c r="A371" s="28"/>
      <c r="B371" s="29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 ht="15.75" customHeight="1">
      <c r="A372" s="28"/>
      <c r="B372" s="29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ht="15.75" customHeight="1">
      <c r="A373" s="28"/>
      <c r="B373" s="29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 ht="15.75" customHeight="1">
      <c r="A374" s="28"/>
      <c r="B374" s="29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 ht="15.75" customHeight="1">
      <c r="A375" s="28"/>
      <c r="B375" s="29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 ht="15.75" customHeight="1">
      <c r="A376" s="28"/>
      <c r="B376" s="29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 ht="15.75" customHeight="1">
      <c r="A377" s="28"/>
      <c r="B377" s="29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 ht="15.75" customHeight="1">
      <c r="A378" s="28"/>
      <c r="B378" s="29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 ht="15.75" customHeight="1">
      <c r="A379" s="28"/>
      <c r="B379" s="29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 ht="15.75" customHeight="1">
      <c r="A380" s="28"/>
      <c r="B380" s="29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 ht="15.75" customHeight="1">
      <c r="A381" s="28"/>
      <c r="B381" s="29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 ht="15.75" customHeight="1">
      <c r="A382" s="28"/>
      <c r="B382" s="29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 ht="15.75" customHeight="1">
      <c r="A383" s="28"/>
      <c r="B383" s="29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ht="15.75" customHeight="1">
      <c r="A384" s="28"/>
      <c r="B384" s="29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 ht="15.75" customHeight="1">
      <c r="A385" s="28"/>
      <c r="B385" s="29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 ht="15.75" customHeight="1">
      <c r="A386" s="28"/>
      <c r="B386" s="29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 ht="15.75" customHeight="1">
      <c r="A387" s="28"/>
      <c r="B387" s="29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 ht="15.75" customHeight="1">
      <c r="A388" s="28"/>
      <c r="B388" s="29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 ht="15.75" customHeight="1">
      <c r="A389" s="28"/>
      <c r="B389" s="29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 ht="15.75" customHeight="1">
      <c r="A390" s="28"/>
      <c r="B390" s="29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 ht="15.75" customHeight="1">
      <c r="A391" s="28"/>
      <c r="B391" s="29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 ht="15.75" customHeight="1">
      <c r="A392" s="28"/>
      <c r="B392" s="29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 ht="15.75" customHeight="1">
      <c r="A393" s="28"/>
      <c r="B393" s="29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ht="15.75" customHeight="1">
      <c r="A394" s="28"/>
      <c r="B394" s="29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 ht="15.75" customHeight="1">
      <c r="A395" s="28"/>
      <c r="B395" s="29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 ht="15.75" customHeight="1">
      <c r="A396" s="28"/>
      <c r="B396" s="29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 ht="15.75" customHeight="1">
      <c r="A397" s="28"/>
      <c r="B397" s="29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 ht="15.75" customHeight="1">
      <c r="A398" s="28"/>
      <c r="B398" s="29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 ht="15.75" customHeight="1">
      <c r="A399" s="28"/>
      <c r="B399" s="29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 ht="15.75" customHeight="1">
      <c r="A400" s="28"/>
      <c r="B400" s="29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 ht="15.75" customHeight="1">
      <c r="A401" s="28"/>
      <c r="B401" s="29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 ht="15.75" customHeight="1">
      <c r="A402" s="28"/>
      <c r="B402" s="29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ht="15.75" customHeight="1">
      <c r="A403" s="28"/>
      <c r="B403" s="29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 ht="15.75" customHeight="1">
      <c r="A404" s="28"/>
      <c r="B404" s="29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 ht="15.75" customHeight="1">
      <c r="A405" s="28"/>
      <c r="B405" s="29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 ht="15.75" customHeight="1">
      <c r="A406" s="28"/>
      <c r="B406" s="29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 ht="15.75" customHeight="1">
      <c r="A407" s="28"/>
      <c r="B407" s="29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 ht="15.75" customHeight="1">
      <c r="A408" s="28"/>
      <c r="B408" s="29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 ht="15.75" customHeight="1">
      <c r="A409" s="28"/>
      <c r="B409" s="29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 ht="15.75" customHeight="1">
      <c r="A410" s="28"/>
      <c r="B410" s="29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 ht="15.75" customHeight="1">
      <c r="A411" s="28"/>
      <c r="B411" s="29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 ht="15.75" customHeight="1">
      <c r="A412" s="28"/>
      <c r="B412" s="29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ht="15.75" customHeight="1">
      <c r="A413" s="28"/>
      <c r="B413" s="29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 ht="15.75" customHeight="1">
      <c r="A414" s="28"/>
      <c r="B414" s="29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 ht="15.75" customHeight="1">
      <c r="A415" s="28"/>
      <c r="B415" s="29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 ht="15.75" customHeight="1">
      <c r="A416" s="28"/>
      <c r="B416" s="29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 ht="15.75" customHeight="1">
      <c r="A417" s="28"/>
      <c r="B417" s="29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 ht="15.75" customHeight="1">
      <c r="A418" s="28"/>
      <c r="B418" s="29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 ht="15.75" customHeight="1">
      <c r="A419" s="28"/>
      <c r="B419" s="29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 ht="15.75" customHeight="1">
      <c r="A420" s="28"/>
      <c r="B420" s="29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 ht="15.75" customHeight="1">
      <c r="A421" s="28"/>
      <c r="B421" s="29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ht="15.75" customHeight="1">
      <c r="A422" s="28"/>
      <c r="B422" s="29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 ht="15.75" customHeight="1">
      <c r="A423" s="28"/>
      <c r="B423" s="29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 ht="15.75" customHeight="1">
      <c r="A424" s="28"/>
      <c r="B424" s="29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 ht="15.75" customHeight="1">
      <c r="A425" s="28"/>
      <c r="B425" s="29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 ht="15.75" customHeight="1">
      <c r="A426" s="28"/>
      <c r="B426" s="29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 ht="15.75" customHeight="1">
      <c r="A427" s="28"/>
      <c r="B427" s="29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 ht="15.75" customHeight="1">
      <c r="A428" s="28"/>
      <c r="B428" s="29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 ht="15.75" customHeight="1">
      <c r="A429" s="28"/>
      <c r="B429" s="29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 ht="15.75" customHeight="1">
      <c r="A430" s="28"/>
      <c r="B430" s="29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ht="15.75" customHeight="1">
      <c r="A431" s="28"/>
      <c r="B431" s="29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 ht="15.75" customHeight="1">
      <c r="A432" s="28"/>
      <c r="B432" s="29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 ht="15.75" customHeight="1">
      <c r="A433" s="28"/>
      <c r="B433" s="29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 ht="15.75" customHeight="1">
      <c r="A434" s="28"/>
      <c r="B434" s="29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 ht="15.75" customHeight="1">
      <c r="A435" s="28"/>
      <c r="B435" s="29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 ht="15.75" customHeight="1">
      <c r="A436" s="28"/>
      <c r="B436" s="29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 ht="15.75" customHeight="1">
      <c r="A437" s="28"/>
      <c r="B437" s="29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 ht="15.75" customHeight="1">
      <c r="A438" s="28"/>
      <c r="B438" s="29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 ht="15.75" customHeight="1">
      <c r="A439" s="28"/>
      <c r="B439" s="29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ht="15.75" customHeight="1">
      <c r="A440" s="28"/>
      <c r="B440" s="29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 ht="15.75" customHeight="1">
      <c r="A441" s="28"/>
      <c r="B441" s="29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 ht="15.75" customHeight="1">
      <c r="A442" s="28"/>
      <c r="B442" s="29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 ht="15.75" customHeight="1">
      <c r="A443" s="28"/>
      <c r="B443" s="29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 ht="15.75" customHeight="1">
      <c r="A444" s="28"/>
      <c r="B444" s="29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 ht="15.75" customHeight="1">
      <c r="A445" s="28"/>
      <c r="B445" s="29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 ht="15.75" customHeight="1">
      <c r="A446" s="28"/>
      <c r="B446" s="29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 ht="15.75" customHeight="1">
      <c r="A447" s="28"/>
      <c r="B447" s="29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 ht="15.75" customHeight="1">
      <c r="A448" s="28"/>
      <c r="B448" s="29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ht="15.75" customHeight="1">
      <c r="A449" s="28"/>
      <c r="B449" s="29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 ht="15.75" customHeight="1">
      <c r="A450" s="28"/>
      <c r="B450" s="29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 ht="15.75" customHeight="1">
      <c r="A451" s="28"/>
      <c r="B451" s="29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 ht="15.75" customHeight="1">
      <c r="A452" s="28"/>
      <c r="B452" s="29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 ht="15.75" customHeight="1">
      <c r="A453" s="28"/>
      <c r="B453" s="29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 ht="15.75" customHeight="1">
      <c r="A454" s="28"/>
      <c r="B454" s="29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 ht="15.75" customHeight="1">
      <c r="A455" s="28"/>
      <c r="B455" s="29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 ht="15.75" customHeight="1">
      <c r="A456" s="28"/>
      <c r="B456" s="29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 ht="15.75" customHeight="1">
      <c r="A457" s="28"/>
      <c r="B457" s="29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ht="15.75" customHeight="1">
      <c r="A458" s="28"/>
      <c r="B458" s="29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 ht="15.75" customHeight="1">
      <c r="A459" s="28"/>
      <c r="B459" s="29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 ht="15.75" customHeight="1">
      <c r="A460" s="28"/>
      <c r="B460" s="29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 ht="15.75" customHeight="1">
      <c r="A461" s="28"/>
      <c r="B461" s="29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 ht="15.75" customHeight="1">
      <c r="A462" s="28"/>
      <c r="B462" s="29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 ht="15.75" customHeight="1">
      <c r="A463" s="28"/>
      <c r="B463" s="29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 ht="15.75" customHeight="1">
      <c r="A464" s="28"/>
      <c r="B464" s="29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 ht="15.75" customHeight="1">
      <c r="A465" s="28"/>
      <c r="B465" s="29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 ht="15.75" customHeight="1">
      <c r="A466" s="28"/>
      <c r="B466" s="29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ht="15.75" customHeight="1">
      <c r="A467" s="28"/>
      <c r="B467" s="29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 ht="15.75" customHeight="1">
      <c r="A468" s="28"/>
      <c r="B468" s="29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 ht="15.75" customHeight="1">
      <c r="A469" s="28"/>
      <c r="B469" s="29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 ht="15.75" customHeight="1">
      <c r="A470" s="28"/>
      <c r="B470" s="29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 ht="15.75" customHeight="1">
      <c r="A471" s="28"/>
      <c r="B471" s="29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ht="15.75" customHeight="1">
      <c r="A472" s="28"/>
      <c r="B472" s="29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 ht="15.75" customHeight="1">
      <c r="A473" s="28"/>
      <c r="B473" s="29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 ht="15.75" customHeight="1">
      <c r="A474" s="28"/>
      <c r="B474" s="29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 ht="15.75" customHeight="1">
      <c r="A475" s="28"/>
      <c r="B475" s="29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ht="15.75" customHeight="1">
      <c r="A476" s="28"/>
      <c r="B476" s="29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 ht="15.75" customHeight="1">
      <c r="A477" s="28"/>
      <c r="B477" s="29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 ht="15.75" customHeight="1">
      <c r="A478" s="28"/>
      <c r="B478" s="29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 ht="15.75" customHeight="1">
      <c r="A479" s="28"/>
      <c r="B479" s="29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 ht="15.75" customHeight="1">
      <c r="A480" s="28"/>
      <c r="B480" s="29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 ht="15.75" customHeight="1">
      <c r="A481" s="28"/>
      <c r="B481" s="29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 ht="15.75" customHeight="1">
      <c r="A482" s="28"/>
      <c r="B482" s="29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 ht="15.75" customHeight="1">
      <c r="A483" s="28"/>
      <c r="B483" s="29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 ht="15.75" customHeight="1">
      <c r="A484" s="28"/>
      <c r="B484" s="29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ht="15.75" customHeight="1">
      <c r="A485" s="28"/>
      <c r="B485" s="29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 ht="15.75" customHeight="1">
      <c r="A486" s="28"/>
      <c r="B486" s="29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 ht="15.75" customHeight="1">
      <c r="A487" s="28"/>
      <c r="B487" s="29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 ht="15.75" customHeight="1">
      <c r="A488" s="28"/>
      <c r="B488" s="29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 ht="15.75" customHeight="1">
      <c r="A489" s="28"/>
      <c r="B489" s="29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 ht="15.75" customHeight="1">
      <c r="A490" s="28"/>
      <c r="B490" s="29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 ht="15.75" customHeight="1">
      <c r="A491" s="28"/>
      <c r="B491" s="29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 ht="15.75" customHeight="1">
      <c r="A492" s="28"/>
      <c r="B492" s="29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 ht="15.75" customHeight="1">
      <c r="A493" s="28"/>
      <c r="B493" s="29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ht="15.75" customHeight="1">
      <c r="A494" s="28"/>
      <c r="B494" s="29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 ht="15.75" customHeight="1">
      <c r="A495" s="28"/>
      <c r="B495" s="29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ht="15.75" customHeight="1">
      <c r="A496" s="28"/>
      <c r="B496" s="29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ht="15.75" customHeight="1">
      <c r="A497" s="28"/>
      <c r="B497" s="29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 ht="15.75" customHeight="1">
      <c r="A498" s="28"/>
      <c r="B498" s="29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 ht="15.75" customHeight="1">
      <c r="A499" s="28"/>
      <c r="B499" s="29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 ht="15.75" customHeight="1">
      <c r="A500" s="28"/>
      <c r="B500" s="2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 ht="15.75" customHeight="1">
      <c r="A501" s="28"/>
      <c r="B501" s="29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 ht="15.75" customHeight="1">
      <c r="A502" s="28"/>
      <c r="B502" s="29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 ht="15.75" customHeight="1">
      <c r="A503" s="28"/>
      <c r="B503" s="29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 ht="15.75" customHeight="1">
      <c r="A504" s="28"/>
      <c r="B504" s="29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ht="15.75" customHeight="1">
      <c r="A505" s="28"/>
      <c r="B505" s="29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 ht="15.75" customHeight="1">
      <c r="A506" s="28"/>
      <c r="B506" s="29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 ht="15.75" customHeight="1">
      <c r="A507" s="28"/>
      <c r="B507" s="29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 ht="15.75" customHeight="1">
      <c r="A508" s="28"/>
      <c r="B508" s="29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 ht="15.75" customHeight="1">
      <c r="A509" s="28"/>
      <c r="B509" s="29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 ht="15.75" customHeight="1">
      <c r="A510" s="28"/>
      <c r="B510" s="29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 ht="15.75" customHeight="1">
      <c r="A511" s="28"/>
      <c r="B511" s="29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 ht="15.75" customHeight="1">
      <c r="A512" s="28"/>
      <c r="B512" s="29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 ht="15.75" customHeight="1">
      <c r="A513" s="28"/>
      <c r="B513" s="29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ht="15.75" customHeight="1">
      <c r="A514" s="28"/>
      <c r="B514" s="29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 ht="15.75" customHeight="1">
      <c r="A515" s="28"/>
      <c r="B515" s="29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 ht="15.75" customHeight="1">
      <c r="A516" s="28"/>
      <c r="B516" s="29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 ht="15.75" customHeight="1">
      <c r="A517" s="28"/>
      <c r="B517" s="29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 ht="15.75" customHeight="1">
      <c r="A518" s="28"/>
      <c r="B518" s="29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 ht="15.75" customHeight="1">
      <c r="A519" s="28"/>
      <c r="B519" s="29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 ht="15.75" customHeight="1">
      <c r="A520" s="28"/>
      <c r="B520" s="29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 ht="15.75" customHeight="1">
      <c r="A521" s="28"/>
      <c r="B521" s="29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 ht="15.75" customHeight="1">
      <c r="A522" s="28"/>
      <c r="B522" s="29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 ht="15.75" customHeight="1">
      <c r="A523" s="28"/>
      <c r="B523" s="29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ht="15.75" customHeight="1">
      <c r="A524" s="28"/>
      <c r="B524" s="29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 ht="15.75" customHeight="1">
      <c r="A525" s="28"/>
      <c r="B525" s="29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 ht="15.75" customHeight="1">
      <c r="A526" s="28"/>
      <c r="B526" s="29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 ht="15.75" customHeight="1">
      <c r="A527" s="28"/>
      <c r="B527" s="29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 ht="15.75" customHeight="1">
      <c r="A528" s="28"/>
      <c r="B528" s="29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 ht="15.75" customHeight="1">
      <c r="A529" s="28"/>
      <c r="B529" s="29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 ht="15.75" customHeight="1">
      <c r="A530" s="28"/>
      <c r="B530" s="29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 ht="15.75" customHeight="1">
      <c r="A531" s="28"/>
      <c r="B531" s="29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 ht="15.75" customHeight="1">
      <c r="A532" s="28"/>
      <c r="B532" s="29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ht="15.75" customHeight="1">
      <c r="A533" s="28"/>
      <c r="B533" s="29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 ht="15.75" customHeight="1">
      <c r="A534" s="28"/>
      <c r="B534" s="29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 ht="15.75" customHeight="1">
      <c r="A535" s="28"/>
      <c r="B535" s="29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 ht="15.75" customHeight="1">
      <c r="A536" s="28"/>
      <c r="B536" s="29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 ht="15.75" customHeight="1">
      <c r="A537" s="28"/>
      <c r="B537" s="29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 ht="15.75" customHeight="1">
      <c r="A538" s="28"/>
      <c r="B538" s="29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 ht="15.75" customHeight="1">
      <c r="A539" s="28"/>
      <c r="B539" s="29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 ht="15.75" customHeight="1">
      <c r="A540" s="28"/>
      <c r="B540" s="29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 ht="15.75" customHeight="1">
      <c r="A541" s="28"/>
      <c r="B541" s="29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ht="15.75" customHeight="1">
      <c r="A542" s="28"/>
      <c r="B542" s="29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 ht="15.75" customHeight="1">
      <c r="A543" s="28"/>
      <c r="B543" s="29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 ht="15.75" customHeight="1">
      <c r="A544" s="28"/>
      <c r="B544" s="29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 ht="15.75" customHeight="1">
      <c r="A545" s="28"/>
      <c r="B545" s="29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 ht="15.75" customHeight="1">
      <c r="A546" s="28"/>
      <c r="B546" s="29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 ht="15.75" customHeight="1">
      <c r="A547" s="28"/>
      <c r="B547" s="29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 ht="15.75" customHeight="1">
      <c r="A548" s="28"/>
      <c r="B548" s="29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 ht="15.75" customHeight="1">
      <c r="A549" s="28"/>
      <c r="B549" s="29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 ht="15.75" customHeight="1">
      <c r="A550" s="28"/>
      <c r="B550" s="29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ht="15.75" customHeight="1">
      <c r="A551" s="28"/>
      <c r="B551" s="29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 ht="15.75" customHeight="1">
      <c r="A552" s="28"/>
      <c r="B552" s="29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 ht="15.75" customHeight="1">
      <c r="A553" s="28"/>
      <c r="B553" s="29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 ht="15.75" customHeight="1">
      <c r="A554" s="28"/>
      <c r="B554" s="29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ht="15.75" customHeight="1">
      <c r="A555" s="28"/>
      <c r="B555" s="29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ht="15.75" customHeight="1">
      <c r="A556" s="28"/>
      <c r="B556" s="29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 ht="15.75" customHeight="1">
      <c r="A557" s="28"/>
      <c r="B557" s="29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 ht="15.75" customHeight="1">
      <c r="A558" s="28"/>
      <c r="B558" s="29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 ht="15.75" customHeight="1">
      <c r="A559" s="28"/>
      <c r="B559" s="29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 ht="15.75" customHeight="1">
      <c r="A560" s="28"/>
      <c r="B560" s="29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 ht="15.75" customHeight="1">
      <c r="A561" s="28"/>
      <c r="B561" s="29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 ht="15.75" customHeight="1">
      <c r="A562" s="28"/>
      <c r="B562" s="29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ht="15.75" customHeight="1">
      <c r="A563" s="28"/>
      <c r="B563" s="29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 ht="15.75" customHeight="1">
      <c r="A564" s="28"/>
      <c r="B564" s="29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 ht="15.75" customHeight="1">
      <c r="A565" s="28"/>
      <c r="B565" s="29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 ht="15.75" customHeight="1">
      <c r="A566" s="28"/>
      <c r="B566" s="29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 ht="15.75" customHeight="1">
      <c r="A567" s="28"/>
      <c r="B567" s="29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 ht="15.75" customHeight="1">
      <c r="A568" s="28"/>
      <c r="B568" s="29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 ht="15.75" customHeight="1">
      <c r="A569" s="28"/>
      <c r="B569" s="29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 ht="15.75" customHeight="1">
      <c r="A570" s="28"/>
      <c r="B570" s="29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 ht="15.75" customHeight="1">
      <c r="A571" s="28"/>
      <c r="B571" s="29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ht="15.75" customHeight="1">
      <c r="A572" s="28"/>
      <c r="B572" s="29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 ht="15.75" customHeight="1">
      <c r="A573" s="28"/>
      <c r="B573" s="29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 ht="15.75" customHeight="1">
      <c r="A574" s="28"/>
      <c r="B574" s="29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 ht="15.75" customHeight="1">
      <c r="A575" s="28"/>
      <c r="B575" s="29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 ht="15.75" customHeight="1">
      <c r="A576" s="28"/>
      <c r="B576" s="29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 ht="15.75" customHeight="1">
      <c r="A577" s="28"/>
      <c r="B577" s="29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 ht="15.75" customHeight="1">
      <c r="A578" s="28"/>
      <c r="B578" s="29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 ht="15.75" customHeight="1">
      <c r="A579" s="28"/>
      <c r="B579" s="29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 ht="15.75" customHeight="1">
      <c r="A580" s="28"/>
      <c r="B580" s="29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 ht="15.75" customHeight="1">
      <c r="A581" s="28"/>
      <c r="B581" s="29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ht="15.75" customHeight="1">
      <c r="A582" s="28"/>
      <c r="B582" s="29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 ht="15.75" customHeight="1">
      <c r="A583" s="28"/>
      <c r="B583" s="29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 ht="15.75" customHeight="1">
      <c r="A584" s="28"/>
      <c r="B584" s="29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 ht="15.75" customHeight="1">
      <c r="A585" s="28"/>
      <c r="B585" s="29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 ht="15.75" customHeight="1">
      <c r="A586" s="28"/>
      <c r="B586" s="29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 ht="15.75" customHeight="1">
      <c r="A587" s="28"/>
      <c r="B587" s="29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 ht="15.75" customHeight="1">
      <c r="A588" s="28"/>
      <c r="B588" s="29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 ht="15.75" customHeight="1">
      <c r="A589" s="28"/>
      <c r="B589" s="29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 ht="15.75" customHeight="1">
      <c r="A590" s="28"/>
      <c r="B590" s="29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ht="15.75" customHeight="1">
      <c r="A591" s="28"/>
      <c r="B591" s="29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 ht="15.75" customHeight="1">
      <c r="A592" s="28"/>
      <c r="B592" s="29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 ht="15.75" customHeight="1">
      <c r="A593" s="28"/>
      <c r="B593" s="29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 ht="15.75" customHeight="1">
      <c r="A594" s="28"/>
      <c r="B594" s="29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 ht="15.75" customHeight="1">
      <c r="A595" s="28"/>
      <c r="B595" s="29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 ht="15.75" customHeight="1">
      <c r="A596" s="28"/>
      <c r="B596" s="29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 ht="15.75" customHeight="1">
      <c r="A597" s="28"/>
      <c r="B597" s="29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 ht="15.75" customHeight="1">
      <c r="A598" s="28"/>
      <c r="B598" s="29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 ht="15.75" customHeight="1">
      <c r="A599" s="28"/>
      <c r="B599" s="29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 ht="15.75" customHeight="1">
      <c r="A600" s="28"/>
      <c r="B600" s="29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ht="15.75" customHeight="1">
      <c r="A601" s="28"/>
      <c r="B601" s="29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 ht="15.75" customHeight="1">
      <c r="A602" s="28"/>
      <c r="B602" s="29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 ht="15.75" customHeight="1">
      <c r="A603" s="28"/>
      <c r="B603" s="29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 ht="15.75" customHeight="1">
      <c r="A604" s="28"/>
      <c r="B604" s="29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 ht="15.75" customHeight="1">
      <c r="A605" s="28"/>
      <c r="B605" s="29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ht="15.75" customHeight="1">
      <c r="A606" s="28"/>
      <c r="B606" s="29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ht="15.75" customHeight="1">
      <c r="A607" s="28"/>
      <c r="B607" s="29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 ht="15.75" customHeight="1">
      <c r="A608" s="28"/>
      <c r="B608" s="29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 ht="15.75" customHeight="1">
      <c r="A609" s="28"/>
      <c r="B609" s="29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 ht="15.75" customHeight="1">
      <c r="A610" s="28"/>
      <c r="B610" s="29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 ht="15.75" customHeight="1">
      <c r="A611" s="28"/>
      <c r="B611" s="29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ht="15.75" customHeight="1">
      <c r="A612" s="28"/>
      <c r="B612" s="29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 ht="15.75" customHeight="1">
      <c r="A613" s="28"/>
      <c r="B613" s="29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 ht="15.75" customHeight="1">
      <c r="A614" s="28"/>
      <c r="B614" s="29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 ht="15.75" customHeight="1">
      <c r="A615" s="28"/>
      <c r="B615" s="29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 ht="15.75" customHeight="1">
      <c r="A616" s="28"/>
      <c r="B616" s="29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 ht="15.75" customHeight="1">
      <c r="A617" s="28"/>
      <c r="B617" s="29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 ht="15.75" customHeight="1">
      <c r="A618" s="28"/>
      <c r="B618" s="29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 ht="15.75" customHeight="1">
      <c r="A619" s="28"/>
      <c r="B619" s="29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 ht="15.75" customHeight="1">
      <c r="A620" s="28"/>
      <c r="B620" s="29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 ht="15.75" customHeight="1">
      <c r="A621" s="28"/>
      <c r="B621" s="29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ht="15.75" customHeight="1">
      <c r="A622" s="28"/>
      <c r="B622" s="29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 ht="15.75" customHeight="1">
      <c r="A623" s="28"/>
      <c r="B623" s="29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 ht="15.75" customHeight="1">
      <c r="A624" s="28"/>
      <c r="B624" s="29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 ht="15.75" customHeight="1">
      <c r="A625" s="28"/>
      <c r="B625" s="29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 ht="15.75" customHeight="1">
      <c r="A626" s="28"/>
      <c r="B626" s="29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 ht="15.75" customHeight="1">
      <c r="A627" s="28"/>
      <c r="B627" s="29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 ht="15.75" customHeight="1">
      <c r="A628" s="28"/>
      <c r="B628" s="29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 ht="15.75" customHeight="1">
      <c r="A629" s="28"/>
      <c r="B629" s="29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 ht="15.75" customHeight="1">
      <c r="A630" s="28"/>
      <c r="B630" s="29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 ht="15.75" customHeight="1">
      <c r="A631" s="28"/>
      <c r="B631" s="29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ht="15.75" customHeight="1">
      <c r="A632" s="28"/>
      <c r="B632" s="29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 ht="15.75" customHeight="1">
      <c r="A633" s="28"/>
      <c r="B633" s="29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 ht="15.75" customHeight="1">
      <c r="A634" s="28"/>
      <c r="B634" s="29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 ht="15.75" customHeight="1">
      <c r="A635" s="28"/>
      <c r="B635" s="29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 ht="15.75" customHeight="1">
      <c r="A636" s="28"/>
      <c r="B636" s="29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 ht="15.75" customHeight="1">
      <c r="A637" s="28"/>
      <c r="B637" s="29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 ht="15.75" customHeight="1">
      <c r="A638" s="28"/>
      <c r="B638" s="29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 ht="15.75" customHeight="1">
      <c r="A639" s="28"/>
      <c r="B639" s="29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 ht="15.75" customHeight="1">
      <c r="A640" s="28"/>
      <c r="B640" s="29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ht="15.75" customHeight="1">
      <c r="A641" s="28"/>
      <c r="B641" s="29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 ht="15.75" customHeight="1">
      <c r="A642" s="28"/>
      <c r="B642" s="29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 ht="15.75" customHeight="1">
      <c r="A643" s="28"/>
      <c r="B643" s="29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 ht="15.75" customHeight="1">
      <c r="A644" s="28"/>
      <c r="B644" s="29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 ht="15.75" customHeight="1">
      <c r="A645" s="28"/>
      <c r="B645" s="29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 ht="15.75" customHeight="1">
      <c r="A646" s="28"/>
      <c r="B646" s="29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 ht="15.75" customHeight="1">
      <c r="A647" s="28"/>
      <c r="B647" s="29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 ht="15.75" customHeight="1">
      <c r="A648" s="28"/>
      <c r="B648" s="29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 ht="15.75" customHeight="1">
      <c r="A649" s="28"/>
      <c r="B649" s="29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 ht="15.75" customHeight="1">
      <c r="A650" s="28"/>
      <c r="B650" s="29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ht="15.75" customHeight="1">
      <c r="A651" s="28"/>
      <c r="B651" s="29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 ht="15.75" customHeight="1">
      <c r="A652" s="28"/>
      <c r="B652" s="29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 ht="15.75" customHeight="1">
      <c r="A653" s="28"/>
      <c r="B653" s="29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 ht="15.75" customHeight="1">
      <c r="A654" s="28"/>
      <c r="B654" s="29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 ht="15.75" customHeight="1">
      <c r="A655" s="28"/>
      <c r="B655" s="29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 ht="15.75" customHeight="1">
      <c r="A656" s="28"/>
      <c r="B656" s="29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 ht="15.75" customHeight="1">
      <c r="A657" s="28"/>
      <c r="B657" s="29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 ht="15.75" customHeight="1">
      <c r="A658" s="28"/>
      <c r="B658" s="29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 ht="15.75" customHeight="1">
      <c r="A659" s="28"/>
      <c r="B659" s="29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 ht="15.75" customHeight="1">
      <c r="A660" s="28"/>
      <c r="B660" s="29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ht="15.75" customHeight="1">
      <c r="A661" s="28"/>
      <c r="B661" s="29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 ht="15.75" customHeight="1">
      <c r="A662" s="28"/>
      <c r="B662" s="29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 ht="15.75" customHeight="1">
      <c r="A663" s="28"/>
      <c r="B663" s="29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 ht="15.75" customHeight="1">
      <c r="A664" s="28"/>
      <c r="B664" s="2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 ht="15.75" customHeight="1">
      <c r="A665" s="28"/>
      <c r="B665" s="29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 ht="15.75" customHeight="1">
      <c r="A666" s="28"/>
      <c r="B666" s="29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 ht="15.75" customHeight="1">
      <c r="A667" s="28"/>
      <c r="B667" s="29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 ht="15.75" customHeight="1">
      <c r="A668" s="28"/>
      <c r="B668" s="29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 ht="15.75" customHeight="1">
      <c r="A669" s="28"/>
      <c r="B669" s="29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 ht="15.75" customHeight="1">
      <c r="A670" s="28"/>
      <c r="B670" s="29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ht="15.75" customHeight="1">
      <c r="A671" s="28"/>
      <c r="B671" s="29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 ht="15.75" customHeight="1">
      <c r="A672" s="28"/>
      <c r="B672" s="29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 ht="15.75" customHeight="1">
      <c r="A673" s="28"/>
      <c r="B673" s="29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 ht="15.75" customHeight="1">
      <c r="A674" s="28"/>
      <c r="B674" s="29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 ht="15.75" customHeight="1">
      <c r="A675" s="28"/>
      <c r="B675" s="29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 ht="15.75" customHeight="1">
      <c r="A676" s="28"/>
      <c r="B676" s="29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 ht="15.75" customHeight="1">
      <c r="A677" s="28"/>
      <c r="B677" s="29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 ht="15.75" customHeight="1">
      <c r="A678" s="28"/>
      <c r="B678" s="29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 ht="15.75" customHeight="1">
      <c r="A679" s="28"/>
      <c r="B679" s="29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 ht="15.75" customHeight="1">
      <c r="A680" s="28"/>
      <c r="B680" s="29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ht="15.75" customHeight="1">
      <c r="A681" s="28"/>
      <c r="B681" s="29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 ht="15.75" customHeight="1">
      <c r="A682" s="28"/>
      <c r="B682" s="29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 ht="15.75" customHeight="1">
      <c r="A683" s="28"/>
      <c r="B683" s="29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 ht="15.75" customHeight="1">
      <c r="A684" s="28"/>
      <c r="B684" s="29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 ht="15.75" customHeight="1">
      <c r="A685" s="28"/>
      <c r="B685" s="29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 ht="15.75" customHeight="1">
      <c r="A686" s="28"/>
      <c r="B686" s="29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 ht="15.75" customHeight="1">
      <c r="A687" s="28"/>
      <c r="B687" s="29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 ht="15.75" customHeight="1">
      <c r="A688" s="28"/>
      <c r="B688" s="29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 ht="15.75" customHeight="1">
      <c r="A689" s="28"/>
      <c r="B689" s="29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ht="15.75" customHeight="1">
      <c r="A690" s="28"/>
      <c r="B690" s="29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 ht="15.75" customHeight="1">
      <c r="A691" s="28"/>
      <c r="B691" s="29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 ht="15.75" customHeight="1">
      <c r="A692" s="28"/>
      <c r="B692" s="29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 ht="15.75" customHeight="1">
      <c r="A693" s="28"/>
      <c r="B693" s="29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 ht="15.75" customHeight="1">
      <c r="A694" s="28"/>
      <c r="B694" s="29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 ht="15.75" customHeight="1">
      <c r="A695" s="28"/>
      <c r="B695" s="29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 ht="15.75" customHeight="1">
      <c r="A696" s="28"/>
      <c r="B696" s="29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 ht="15.75" customHeight="1">
      <c r="A697" s="28"/>
      <c r="B697" s="29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 ht="15.75" customHeight="1">
      <c r="A698" s="28"/>
      <c r="B698" s="29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 ht="15.75" customHeight="1">
      <c r="A699" s="28"/>
      <c r="B699" s="29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 ht="15.75" customHeight="1">
      <c r="A700" s="28"/>
      <c r="B700" s="29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ht="15.75" customHeight="1">
      <c r="A701" s="28"/>
      <c r="B701" s="29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 ht="15.75" customHeight="1">
      <c r="A702" s="28"/>
      <c r="B702" s="29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 ht="15.75" customHeight="1">
      <c r="A703" s="28"/>
      <c r="B703" s="29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 ht="15.75" customHeight="1">
      <c r="A704" s="28"/>
      <c r="B704" s="29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 ht="15.75" customHeight="1">
      <c r="A705" s="28"/>
      <c r="B705" s="29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 ht="15.75" customHeight="1">
      <c r="A706" s="28"/>
      <c r="B706" s="29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 ht="15.75" customHeight="1">
      <c r="A707" s="28"/>
      <c r="B707" s="29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 ht="15.75" customHeight="1">
      <c r="A708" s="28"/>
      <c r="B708" s="29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 ht="15.75" customHeight="1">
      <c r="A709" s="28"/>
      <c r="B709" s="29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 ht="15.75" customHeight="1">
      <c r="A710" s="28"/>
      <c r="B710" s="29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ht="15.75" customHeight="1">
      <c r="A711" s="28"/>
      <c r="B711" s="29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 ht="15.75" customHeight="1">
      <c r="A712" s="28"/>
      <c r="B712" s="29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 ht="15.75" customHeight="1">
      <c r="A713" s="28"/>
      <c r="B713" s="29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 ht="15.75" customHeight="1">
      <c r="A714" s="28"/>
      <c r="B714" s="29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 ht="15.75" customHeight="1">
      <c r="A715" s="28"/>
      <c r="B715" s="29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 ht="15.75" customHeight="1">
      <c r="A716" s="28"/>
      <c r="B716" s="29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 ht="15.75" customHeight="1">
      <c r="A717" s="28"/>
      <c r="B717" s="29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 ht="15.75" customHeight="1">
      <c r="A718" s="28"/>
      <c r="B718" s="29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 ht="15.75" customHeight="1">
      <c r="A719" s="28"/>
      <c r="B719" s="29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ht="15.75" customHeight="1">
      <c r="A720" s="28"/>
      <c r="B720" s="29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 ht="15.75" customHeight="1">
      <c r="A721" s="28"/>
      <c r="B721" s="29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 ht="15.75" customHeight="1">
      <c r="A722" s="28"/>
      <c r="B722" s="29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 ht="15.75" customHeight="1">
      <c r="A723" s="28"/>
      <c r="B723" s="29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 ht="15.75" customHeight="1">
      <c r="A724" s="28"/>
      <c r="B724" s="29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 ht="15.75" customHeight="1">
      <c r="A725" s="28"/>
      <c r="B725" s="29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 ht="15.75" customHeight="1">
      <c r="A726" s="28"/>
      <c r="B726" s="29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 ht="15.75" customHeight="1">
      <c r="A727" s="28"/>
      <c r="B727" s="29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 ht="15.75" customHeight="1">
      <c r="A728" s="28"/>
      <c r="B728" s="29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ht="15.75" customHeight="1">
      <c r="A729" s="28"/>
      <c r="B729" s="29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 ht="15.75" customHeight="1">
      <c r="A730" s="28"/>
      <c r="B730" s="29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 ht="15.75" customHeight="1">
      <c r="A731" s="28"/>
      <c r="B731" s="29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 ht="15.75" customHeight="1">
      <c r="A732" s="28"/>
      <c r="B732" s="29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 ht="15.75" customHeight="1">
      <c r="A733" s="28"/>
      <c r="B733" s="29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 ht="15.75" customHeight="1">
      <c r="A734" s="28"/>
      <c r="B734" s="29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 ht="15.75" customHeight="1">
      <c r="A735" s="28"/>
      <c r="B735" s="29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 ht="15.75" customHeight="1">
      <c r="A736" s="28"/>
      <c r="B736" s="29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 ht="15.75" customHeight="1">
      <c r="A737" s="28"/>
      <c r="B737" s="29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 ht="15.75" customHeight="1">
      <c r="A738" s="28"/>
      <c r="B738" s="29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ht="15.75" customHeight="1">
      <c r="A739" s="28"/>
      <c r="B739" s="29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 ht="15.75" customHeight="1">
      <c r="A740" s="28"/>
      <c r="B740" s="29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 ht="15.75" customHeight="1">
      <c r="A741" s="28"/>
      <c r="B741" s="29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 ht="15.75" customHeight="1">
      <c r="A742" s="28"/>
      <c r="B742" s="29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 ht="15.75" customHeight="1">
      <c r="A743" s="28"/>
      <c r="B743" s="29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 ht="15.75" customHeight="1">
      <c r="A744" s="28"/>
      <c r="B744" s="29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 ht="15.75" customHeight="1">
      <c r="A745" s="28"/>
      <c r="B745" s="29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 ht="15.75" customHeight="1">
      <c r="A746" s="28"/>
      <c r="B746" s="29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 ht="15.75" customHeight="1">
      <c r="A747" s="28"/>
      <c r="B747" s="29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ht="15.75" customHeight="1">
      <c r="A748" s="28"/>
      <c r="B748" s="29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 ht="15.75" customHeight="1">
      <c r="A749" s="28"/>
      <c r="B749" s="29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 ht="15.75" customHeight="1">
      <c r="A750" s="28"/>
      <c r="B750" s="29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 ht="15.75" customHeight="1">
      <c r="A751" s="28"/>
      <c r="B751" s="29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 ht="15.75" customHeight="1">
      <c r="A752" s="28"/>
      <c r="B752" s="29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 ht="15.75" customHeight="1">
      <c r="A753" s="28"/>
      <c r="B753" s="29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 ht="15.75" customHeight="1">
      <c r="A754" s="28"/>
      <c r="B754" s="29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 ht="15.75" customHeight="1">
      <c r="A755" s="28"/>
      <c r="B755" s="29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 ht="15.75" customHeight="1">
      <c r="A756" s="28"/>
      <c r="B756" s="29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ht="15.75" customHeight="1">
      <c r="A757" s="28"/>
      <c r="B757" s="29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 ht="15.75" customHeight="1">
      <c r="A758" s="28"/>
      <c r="B758" s="29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 ht="15.75" customHeight="1">
      <c r="A759" s="28"/>
      <c r="B759" s="29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 ht="15.75" customHeight="1">
      <c r="A760" s="28"/>
      <c r="B760" s="29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 ht="15.75" customHeight="1">
      <c r="A761" s="28"/>
      <c r="B761" s="29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 ht="15.75" customHeight="1">
      <c r="A762" s="28"/>
      <c r="B762" s="29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 ht="15.75" customHeight="1">
      <c r="A763" s="28"/>
      <c r="B763" s="29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 ht="15.75" customHeight="1">
      <c r="A764" s="28"/>
      <c r="B764" s="29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 ht="15.75" customHeight="1">
      <c r="A765" s="28"/>
      <c r="B765" s="29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 ht="15.75" customHeight="1">
      <c r="A766" s="28"/>
      <c r="B766" s="29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ht="15.75" customHeight="1">
      <c r="A767" s="28"/>
      <c r="B767" s="29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 ht="15.75" customHeight="1">
      <c r="A768" s="28"/>
      <c r="B768" s="29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 ht="15.75" customHeight="1">
      <c r="A769" s="28"/>
      <c r="B769" s="29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 ht="15.75" customHeight="1">
      <c r="A770" s="28"/>
      <c r="B770" s="29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 ht="15.75" customHeight="1">
      <c r="A771" s="28"/>
      <c r="B771" s="29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 ht="15.75" customHeight="1">
      <c r="A772" s="28"/>
      <c r="B772" s="29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 ht="15.75" customHeight="1">
      <c r="A773" s="28"/>
      <c r="B773" s="29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 ht="15.75" customHeight="1">
      <c r="A774" s="28"/>
      <c r="B774" s="29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 ht="15.75" customHeight="1">
      <c r="A775" s="28"/>
      <c r="B775" s="29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ht="15.75" customHeight="1">
      <c r="A776" s="28"/>
      <c r="B776" s="29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 ht="15.75" customHeight="1">
      <c r="A777" s="28"/>
      <c r="B777" s="29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 ht="15.75" customHeight="1">
      <c r="A778" s="28"/>
      <c r="B778" s="29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 ht="15.75" customHeight="1">
      <c r="A779" s="28"/>
      <c r="B779" s="29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 ht="15.75" customHeight="1">
      <c r="A780" s="28"/>
      <c r="B780" s="29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 ht="15.75" customHeight="1">
      <c r="A781" s="28"/>
      <c r="B781" s="29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 ht="15.75" customHeight="1">
      <c r="A782" s="28"/>
      <c r="B782" s="29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 ht="15.75" customHeight="1">
      <c r="A783" s="28"/>
      <c r="B783" s="29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 ht="15.75" customHeight="1">
      <c r="A784" s="28"/>
      <c r="B784" s="29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 ht="15.75" customHeight="1">
      <c r="A785" s="28"/>
      <c r="B785" s="29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ht="15.75" customHeight="1">
      <c r="A786" s="28"/>
      <c r="B786" s="29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 ht="15.75" customHeight="1">
      <c r="A787" s="28"/>
      <c r="B787" s="29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 ht="15.75" customHeight="1">
      <c r="A788" s="28"/>
      <c r="B788" s="29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 ht="15.75" customHeight="1">
      <c r="A789" s="28"/>
      <c r="B789" s="29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 ht="15.75" customHeight="1">
      <c r="A790" s="28"/>
      <c r="B790" s="29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 ht="15.75" customHeight="1">
      <c r="A791" s="28"/>
      <c r="B791" s="29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 ht="15.75" customHeight="1">
      <c r="A792" s="28"/>
      <c r="B792" s="29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 ht="15.75" customHeight="1">
      <c r="A793" s="28"/>
      <c r="B793" s="29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 ht="15.75" customHeight="1">
      <c r="A794" s="28"/>
      <c r="B794" s="29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 ht="15.75" customHeight="1">
      <c r="A795" s="28"/>
      <c r="B795" s="29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ht="15.75" customHeight="1">
      <c r="A796" s="28"/>
      <c r="B796" s="29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 ht="15.75" customHeight="1">
      <c r="A797" s="28"/>
      <c r="B797" s="29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 ht="15.75" customHeight="1">
      <c r="A798" s="28"/>
      <c r="B798" s="29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 ht="15.75" customHeight="1">
      <c r="A799" s="28"/>
      <c r="B799" s="29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 ht="15.75" customHeight="1">
      <c r="A800" s="28"/>
      <c r="B800" s="29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 ht="15.75" customHeight="1">
      <c r="A801" s="28"/>
      <c r="B801" s="29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 ht="15.75" customHeight="1">
      <c r="A802" s="28"/>
      <c r="B802" s="29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 ht="15.75" customHeight="1">
      <c r="A803" s="28"/>
      <c r="B803" s="29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 ht="15.75" customHeight="1">
      <c r="A804" s="28"/>
      <c r="B804" s="29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ht="15.75" customHeight="1">
      <c r="A805" s="28"/>
      <c r="B805" s="29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 ht="15.75" customHeight="1">
      <c r="A806" s="28"/>
      <c r="B806" s="29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 ht="15.75" customHeight="1">
      <c r="A807" s="28"/>
      <c r="B807" s="29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 ht="15.75" customHeight="1">
      <c r="A808" s="28"/>
      <c r="B808" s="29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 ht="15.75" customHeight="1">
      <c r="A809" s="28"/>
      <c r="B809" s="29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 ht="15.75" customHeight="1">
      <c r="A810" s="28"/>
      <c r="B810" s="29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 ht="15.75" customHeight="1">
      <c r="A811" s="28"/>
      <c r="B811" s="29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 ht="15.75" customHeight="1">
      <c r="A812" s="28"/>
      <c r="B812" s="29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 ht="15.75" customHeight="1">
      <c r="A813" s="28"/>
      <c r="B813" s="29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 ht="15.75" customHeight="1">
      <c r="A814" s="28"/>
      <c r="B814" s="29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 ht="15.75" customHeight="1">
      <c r="A815" s="28"/>
      <c r="B815" s="29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ht="15.75" customHeight="1">
      <c r="A816" s="28"/>
      <c r="B816" s="29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 ht="15.75" customHeight="1">
      <c r="A817" s="28"/>
      <c r="B817" s="29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 ht="15.75" customHeight="1">
      <c r="A818" s="28"/>
      <c r="B818" s="29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 ht="15.75" customHeight="1">
      <c r="A819" s="28"/>
      <c r="B819" s="29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 ht="15.75" customHeight="1">
      <c r="A820" s="28"/>
      <c r="B820" s="29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 ht="15.75" customHeight="1">
      <c r="A821" s="28"/>
      <c r="B821" s="29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 ht="15.75" customHeight="1">
      <c r="A822" s="28"/>
      <c r="B822" s="29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 ht="15.75" customHeight="1">
      <c r="A823" s="28"/>
      <c r="B823" s="29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 ht="15.75" customHeight="1">
      <c r="A824" s="28"/>
      <c r="B824" s="29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ht="15.75" customHeight="1">
      <c r="A825" s="28"/>
      <c r="B825" s="29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 ht="15.75" customHeight="1">
      <c r="A826" s="28"/>
      <c r="B826" s="29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 ht="15.75" customHeight="1">
      <c r="A827" s="28"/>
      <c r="B827" s="29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 ht="15.75" customHeight="1">
      <c r="A828" s="28"/>
      <c r="B828" s="29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 ht="15.75" customHeight="1">
      <c r="A829" s="28"/>
      <c r="B829" s="29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 ht="15.75" customHeight="1">
      <c r="A830" s="28"/>
      <c r="B830" s="29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 ht="15.75" customHeight="1">
      <c r="A831" s="28"/>
      <c r="B831" s="29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 ht="15.75" customHeight="1">
      <c r="A832" s="28"/>
      <c r="B832" s="29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 ht="15.75" customHeight="1">
      <c r="A833" s="28"/>
      <c r="B833" s="29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ht="15.75" customHeight="1">
      <c r="A834" s="28"/>
      <c r="B834" s="29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 ht="15.75" customHeight="1">
      <c r="A835" s="28"/>
      <c r="B835" s="29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 ht="15.75" customHeight="1">
      <c r="A836" s="28"/>
      <c r="B836" s="29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 ht="15.75" customHeight="1">
      <c r="A837" s="28"/>
      <c r="B837" s="29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 ht="15.75" customHeight="1">
      <c r="A838" s="28"/>
      <c r="B838" s="29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 ht="15.75" customHeight="1">
      <c r="A839" s="28"/>
      <c r="B839" s="29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 ht="15.75" customHeight="1">
      <c r="A840" s="28"/>
      <c r="B840" s="29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 ht="15.75" customHeight="1">
      <c r="A841" s="28"/>
      <c r="B841" s="29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 ht="15.75" customHeight="1">
      <c r="A842" s="28"/>
      <c r="B842" s="29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ht="15.75" customHeight="1">
      <c r="A843" s="28"/>
      <c r="B843" s="29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 ht="15.75" customHeight="1">
      <c r="A844" s="28"/>
      <c r="B844" s="29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 ht="15.75" customHeight="1">
      <c r="A845" s="28"/>
      <c r="B845" s="29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 ht="15.75" customHeight="1">
      <c r="A846" s="28"/>
      <c r="B846" s="29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 ht="15.75" customHeight="1">
      <c r="A847" s="28"/>
      <c r="B847" s="29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 ht="15.75" customHeight="1">
      <c r="A848" s="28"/>
      <c r="B848" s="29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 ht="15.75" customHeight="1">
      <c r="A849" s="28"/>
      <c r="B849" s="29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 ht="15.75" customHeight="1">
      <c r="A850" s="28"/>
      <c r="B850" s="29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 ht="15.75" customHeight="1">
      <c r="A851" s="28"/>
      <c r="B851" s="29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ht="15.75" customHeight="1">
      <c r="A852" s="28"/>
      <c r="B852" s="29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 ht="15.75" customHeight="1">
      <c r="A853" s="28"/>
      <c r="B853" s="29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 ht="15.75" customHeight="1">
      <c r="A854" s="28"/>
      <c r="B854" s="29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 ht="15.75" customHeight="1">
      <c r="A855" s="28"/>
      <c r="B855" s="29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 ht="15.75" customHeight="1">
      <c r="A856" s="28"/>
      <c r="B856" s="29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 ht="15.75" customHeight="1">
      <c r="A857" s="28"/>
      <c r="B857" s="29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 ht="15.75" customHeight="1">
      <c r="A858" s="28"/>
      <c r="B858" s="29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 ht="15.75" customHeight="1">
      <c r="A859" s="28"/>
      <c r="B859" s="29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 ht="15.75" customHeight="1">
      <c r="A860" s="28"/>
      <c r="B860" s="29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 ht="15.75" customHeight="1">
      <c r="A861" s="28"/>
      <c r="B861" s="29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ht="15.75" customHeight="1">
      <c r="A862" s="28"/>
      <c r="B862" s="29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 ht="15.75" customHeight="1">
      <c r="A863" s="28"/>
      <c r="B863" s="29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 ht="15.75" customHeight="1">
      <c r="A864" s="28"/>
      <c r="B864" s="29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 ht="15.75" customHeight="1">
      <c r="A865" s="28"/>
      <c r="B865" s="29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 ht="15.75" customHeight="1">
      <c r="A866" s="28"/>
      <c r="B866" s="29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 ht="15.75" customHeight="1">
      <c r="A867" s="28"/>
      <c r="B867" s="29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 ht="15.75" customHeight="1">
      <c r="A868" s="28"/>
      <c r="B868" s="29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 ht="15.75" customHeight="1">
      <c r="A869" s="28"/>
      <c r="B869" s="29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 ht="15.75" customHeight="1">
      <c r="A870" s="28"/>
      <c r="B870" s="29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ht="15.75" customHeight="1">
      <c r="A871" s="28"/>
      <c r="B871" s="29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 ht="15.75" customHeight="1">
      <c r="A872" s="28"/>
      <c r="B872" s="29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 ht="15.75" customHeight="1">
      <c r="A873" s="28"/>
      <c r="B873" s="29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 ht="15.75" customHeight="1">
      <c r="A874" s="28"/>
      <c r="B874" s="29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 ht="15.75" customHeight="1">
      <c r="A875" s="28"/>
      <c r="B875" s="29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 ht="15.75" customHeight="1">
      <c r="A876" s="28"/>
      <c r="B876" s="29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 ht="15.75" customHeight="1">
      <c r="A877" s="28"/>
      <c r="B877" s="29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 ht="15.75" customHeight="1">
      <c r="A878" s="28"/>
      <c r="B878" s="29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 ht="15.75" customHeight="1">
      <c r="A879" s="28"/>
      <c r="B879" s="29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 ht="15.75" customHeight="1">
      <c r="A880" s="28"/>
      <c r="B880" s="29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 ht="15.75" customHeight="1">
      <c r="A881" s="28"/>
      <c r="B881" s="29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 ht="15.75" customHeight="1">
      <c r="A882" s="28"/>
      <c r="B882" s="29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ht="15.75" customHeight="1">
      <c r="A883" s="28"/>
      <c r="B883" s="29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 ht="15.75" customHeight="1">
      <c r="A884" s="28"/>
      <c r="B884" s="29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 ht="15.75" customHeight="1">
      <c r="A885" s="28"/>
      <c r="B885" s="29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 ht="15.75" customHeight="1">
      <c r="A886" s="28"/>
      <c r="B886" s="29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 ht="15.75" customHeight="1">
      <c r="A887" s="28"/>
      <c r="B887" s="29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 ht="15.75" customHeight="1">
      <c r="A888" s="28"/>
      <c r="B888" s="29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 ht="15.75" customHeight="1">
      <c r="A889" s="28"/>
      <c r="B889" s="29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 ht="15.75" customHeight="1">
      <c r="A890" s="28"/>
      <c r="B890" s="29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 ht="15.75" customHeight="1">
      <c r="A891" s="28"/>
      <c r="B891" s="29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ht="15.75" customHeight="1">
      <c r="A892" s="28"/>
      <c r="B892" s="29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 ht="15.75" customHeight="1">
      <c r="A893" s="28"/>
      <c r="B893" s="29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 ht="15.75" customHeight="1">
      <c r="A894" s="28"/>
      <c r="B894" s="29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 ht="15.75" customHeight="1">
      <c r="A895" s="28"/>
      <c r="B895" s="29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 ht="15.75" customHeight="1">
      <c r="A896" s="28"/>
      <c r="B896" s="29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 ht="15.75" customHeight="1">
      <c r="A897" s="28"/>
      <c r="B897" s="29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 ht="15.75" customHeight="1">
      <c r="A898" s="28"/>
      <c r="B898" s="29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 ht="15.75" customHeight="1">
      <c r="A899" s="28"/>
      <c r="B899" s="29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 ht="15.75" customHeight="1">
      <c r="A900" s="28"/>
      <c r="B900" s="29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ht="15.75" customHeight="1">
      <c r="A901" s="28"/>
      <c r="B901" s="29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 ht="15.75" customHeight="1">
      <c r="A902" s="28"/>
      <c r="B902" s="29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 ht="15.75" customHeight="1">
      <c r="A903" s="28"/>
      <c r="B903" s="29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 ht="15.75" customHeight="1">
      <c r="A904" s="28"/>
      <c r="B904" s="29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 ht="15.75" customHeight="1">
      <c r="A905" s="28"/>
      <c r="B905" s="29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 ht="15.75" customHeight="1">
      <c r="A906" s="28"/>
      <c r="B906" s="29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 ht="15.75" customHeight="1">
      <c r="A907" s="28"/>
      <c r="B907" s="29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 ht="15.75" customHeight="1">
      <c r="A908" s="28"/>
      <c r="B908" s="29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 ht="15.75" customHeight="1">
      <c r="A909" s="28"/>
      <c r="B909" s="29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 ht="15.75" customHeight="1">
      <c r="A910" s="28"/>
      <c r="B910" s="29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 ht="15.75" customHeight="1">
      <c r="A911" s="28"/>
      <c r="B911" s="29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 ht="15.75" customHeight="1">
      <c r="A912" s="28"/>
      <c r="B912" s="29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 ht="15.75" customHeight="1">
      <c r="A913" s="28"/>
      <c r="B913" s="29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 ht="15.75" customHeight="1">
      <c r="A914" s="28"/>
      <c r="B914" s="29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ht="15.75" customHeight="1">
      <c r="A915" s="28"/>
      <c r="B915" s="29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 ht="15.75" customHeight="1">
      <c r="A916" s="28"/>
      <c r="B916" s="29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 ht="15.75" customHeight="1">
      <c r="A917" s="28"/>
      <c r="B917" s="29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 ht="15.75" customHeight="1">
      <c r="A918" s="28"/>
      <c r="B918" s="29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 ht="15.75" customHeight="1">
      <c r="A919" s="28"/>
      <c r="B919" s="29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 ht="15.75" customHeight="1">
      <c r="A920" s="28"/>
      <c r="B920" s="29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 ht="15.75" customHeight="1">
      <c r="A921" s="28"/>
      <c r="B921" s="29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 ht="15.75" customHeight="1">
      <c r="A922" s="28"/>
      <c r="B922" s="29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 ht="15.75" customHeight="1">
      <c r="A923" s="28"/>
      <c r="B923" s="29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 ht="15.75" customHeight="1">
      <c r="A924" s="28"/>
      <c r="B924" s="29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 ht="15.75" customHeight="1">
      <c r="A925" s="28"/>
      <c r="B925" s="29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 ht="15.75" customHeight="1">
      <c r="A926" s="28"/>
      <c r="B926" s="29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 ht="15.75" customHeight="1">
      <c r="A927" s="28"/>
      <c r="B927" s="29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 ht="15.75" customHeight="1">
      <c r="A928" s="28"/>
      <c r="B928" s="29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 ht="15.75" customHeight="1">
      <c r="A929" s="28"/>
      <c r="B929" s="29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 ht="15.75" customHeight="1">
      <c r="A930" s="28"/>
      <c r="B930" s="29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 ht="15.75" customHeight="1">
      <c r="A931" s="28"/>
      <c r="B931" s="29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 ht="15.75" customHeight="1">
      <c r="A932" s="28"/>
      <c r="B932" s="29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 ht="15.75" customHeight="1">
      <c r="A933" s="28"/>
      <c r="B933" s="29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 ht="15.75" customHeight="1">
      <c r="A934" s="28"/>
      <c r="B934" s="29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 ht="15.75" customHeight="1">
      <c r="A935" s="28"/>
      <c r="B935" s="29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 ht="15.75" customHeight="1">
      <c r="A936" s="28"/>
      <c r="B936" s="29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 ht="15.75" customHeight="1">
      <c r="A937" s="28"/>
      <c r="B937" s="29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 ht="15.75" customHeight="1">
      <c r="A938" s="28"/>
      <c r="B938" s="29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 ht="15.75" customHeight="1">
      <c r="A939" s="28"/>
      <c r="B939" s="29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 ht="15.75" customHeight="1">
      <c r="A940" s="28"/>
      <c r="B940" s="29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 ht="15.75" customHeight="1">
      <c r="A941" s="28"/>
      <c r="B941" s="29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 ht="15.75" customHeight="1">
      <c r="A942" s="28"/>
      <c r="B942" s="29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 ht="15.75" customHeight="1">
      <c r="A943" s="28"/>
      <c r="B943" s="29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 ht="15.75" customHeight="1">
      <c r="A944" s="28"/>
      <c r="B944" s="29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 ht="15.75" customHeight="1">
      <c r="A945" s="28"/>
      <c r="B945" s="29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 ht="15.75" customHeight="1">
      <c r="A946" s="28"/>
      <c r="B946" s="29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 ht="15.75" customHeight="1">
      <c r="A947" s="28"/>
      <c r="B947" s="29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 ht="15.75" customHeight="1">
      <c r="A948" s="28"/>
      <c r="B948" s="29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 ht="15.75" customHeight="1">
      <c r="A949" s="28"/>
      <c r="B949" s="29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 ht="15.75" customHeight="1">
      <c r="A950" s="28"/>
      <c r="B950" s="29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 ht="15.75" customHeight="1">
      <c r="A951" s="28"/>
      <c r="B951" s="29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 ht="15.75" customHeight="1">
      <c r="A952" s="28"/>
      <c r="B952" s="29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 ht="15.75" customHeight="1">
      <c r="A953" s="28"/>
      <c r="B953" s="29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 ht="15.75" customHeight="1">
      <c r="A954" s="28"/>
      <c r="B954" s="29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 ht="15.75" customHeight="1">
      <c r="A955" s="28"/>
      <c r="B955" s="29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 ht="15.75" customHeight="1">
      <c r="A956" s="28"/>
      <c r="B956" s="29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 ht="15.75" customHeight="1">
      <c r="A957" s="28"/>
      <c r="B957" s="29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 ht="15.75" customHeight="1">
      <c r="A958" s="28"/>
      <c r="B958" s="29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 ht="15.75" customHeight="1">
      <c r="A959" s="28"/>
      <c r="B959" s="29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 ht="15.75" customHeight="1">
      <c r="A960" s="28"/>
      <c r="B960" s="29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 ht="15.75" customHeight="1">
      <c r="A961" s="28"/>
      <c r="B961" s="29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 ht="15.75" customHeight="1">
      <c r="A962" s="28"/>
      <c r="B962" s="29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 ht="15.75" customHeight="1">
      <c r="A963" s="28"/>
      <c r="B963" s="29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 ht="15.75" customHeight="1">
      <c r="A964" s="28"/>
      <c r="B964" s="29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 ht="15.75" customHeight="1">
      <c r="A965" s="28"/>
      <c r="B965" s="29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 ht="15.75" customHeight="1">
      <c r="A966" s="28"/>
      <c r="B966" s="29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 ht="15.75" customHeight="1">
      <c r="A967" s="28"/>
      <c r="B967" s="29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 ht="15.75" customHeight="1">
      <c r="A968" s="28"/>
      <c r="B968" s="29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 ht="15.75" customHeight="1">
      <c r="A969" s="28"/>
      <c r="B969" s="29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 ht="15.75" customHeight="1">
      <c r="A970" s="28"/>
      <c r="B970" s="29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 ht="15.75" customHeight="1">
      <c r="A971" s="28"/>
      <c r="B971" s="29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 ht="15.75" customHeight="1">
      <c r="A972" s="28"/>
      <c r="B972" s="29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 ht="15.75" customHeight="1">
      <c r="A973" s="28"/>
      <c r="B973" s="29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 ht="15.75" customHeight="1">
      <c r="A974" s="28"/>
      <c r="B974" s="29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 ht="15.75" customHeight="1">
      <c r="A975" s="28"/>
      <c r="B975" s="29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 ht="15.75" customHeight="1">
      <c r="A976" s="28"/>
      <c r="B976" s="29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 ht="15.75" customHeight="1">
      <c r="A977" s="28"/>
      <c r="B977" s="29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 ht="15.75" customHeight="1">
      <c r="A978" s="28"/>
      <c r="B978" s="29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 ht="15.75" customHeight="1">
      <c r="A979" s="28"/>
      <c r="B979" s="29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 ht="15.75" customHeight="1">
      <c r="A980" s="28"/>
      <c r="B980" s="29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  <row r="981" ht="15.75" customHeight="1">
      <c r="A981" s="28"/>
      <c r="B981" s="29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</row>
    <row r="982" ht="15.75" customHeight="1">
      <c r="A982" s="28"/>
      <c r="B982" s="29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 ht="15.75" customHeight="1">
      <c r="A983" s="28"/>
      <c r="B983" s="29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</row>
    <row r="984" ht="15.75" customHeight="1">
      <c r="A984" s="28"/>
      <c r="B984" s="29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</row>
    <row r="985" ht="15.75" customHeight="1">
      <c r="A985" s="28"/>
      <c r="B985" s="29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</row>
    <row r="986" ht="15.75" customHeight="1">
      <c r="A986" s="28"/>
      <c r="B986" s="29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</row>
    <row r="987" ht="15.75" customHeight="1">
      <c r="A987" s="28"/>
      <c r="B987" s="29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</row>
    <row r="988" ht="15.75" customHeight="1">
      <c r="A988" s="28"/>
      <c r="B988" s="29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</row>
  </sheetData>
  <mergeCells count="6">
    <mergeCell ref="A1:D1"/>
    <mergeCell ref="A2:D2"/>
    <mergeCell ref="A3:D3"/>
    <mergeCell ref="A4:A5"/>
    <mergeCell ref="B4:B5"/>
    <mergeCell ref="C4:D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5"/>
    <col customWidth="1" min="2" max="2" width="18.5"/>
    <col customWidth="1" min="3" max="3" width="7.5"/>
    <col customWidth="1" min="4" max="4" width="7.63"/>
    <col customWidth="1" min="5" max="5" width="8.0"/>
    <col customWidth="1" min="6" max="6" width="8.63"/>
    <col customWidth="1" min="7" max="7" width="7.5"/>
    <col customWidth="1" min="8" max="8" width="6.63"/>
    <col customWidth="1" min="9" max="9" width="6.0"/>
    <col customWidth="1" min="10" max="10" width="5.5"/>
    <col customWidth="1" min="11" max="11" width="7.0"/>
    <col customWidth="1" min="12" max="12" width="5.75"/>
    <col customWidth="1" min="13" max="14" width="6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4" t="s">
        <v>1</v>
      </c>
      <c r="N2" s="5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6" t="s">
        <v>68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0" t="s">
        <v>3</v>
      </c>
      <c r="B4" s="21" t="s">
        <v>4</v>
      </c>
      <c r="C4" s="22" t="s">
        <v>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2"/>
      <c r="B5" s="12"/>
      <c r="C5" s="14" t="s">
        <v>44</v>
      </c>
      <c r="D5" s="14" t="s">
        <v>45</v>
      </c>
      <c r="E5" s="14" t="s">
        <v>46</v>
      </c>
      <c r="F5" s="14" t="s">
        <v>47</v>
      </c>
      <c r="G5" s="14" t="s">
        <v>8</v>
      </c>
      <c r="H5" s="13" t="s">
        <v>9</v>
      </c>
      <c r="I5" s="14" t="s">
        <v>10</v>
      </c>
      <c r="J5" s="14" t="s">
        <v>48</v>
      </c>
      <c r="K5" s="14" t="s">
        <v>11</v>
      </c>
      <c r="L5" s="14" t="s">
        <v>49</v>
      </c>
      <c r="M5" s="14" t="s">
        <v>12</v>
      </c>
      <c r="N5" s="14" t="s">
        <v>13</v>
      </c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5">
        <v>1.0</v>
      </c>
      <c r="B6" s="16" t="s">
        <v>69</v>
      </c>
      <c r="C6" s="15">
        <v>28.0</v>
      </c>
      <c r="D6" s="15"/>
      <c r="E6" s="15">
        <v>10.0</v>
      </c>
      <c r="F6" s="15"/>
      <c r="G6" s="15">
        <v>20.0</v>
      </c>
      <c r="H6" s="15">
        <v>18.0</v>
      </c>
      <c r="I6" s="15">
        <v>19.0</v>
      </c>
      <c r="J6" s="15">
        <v>30.0</v>
      </c>
      <c r="K6" s="15">
        <v>30.0</v>
      </c>
      <c r="L6" s="15">
        <v>17.0</v>
      </c>
      <c r="M6" s="15">
        <f>SUM(C6:L6)</f>
        <v>172</v>
      </c>
      <c r="N6" s="15">
        <f t="shared" ref="N6:N17" si="1">RANK(M6,$M$6:$M$17)</f>
        <v>1</v>
      </c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5">
        <v>2.0</v>
      </c>
      <c r="B7" s="16" t="s">
        <v>70</v>
      </c>
      <c r="C7" s="15">
        <v>25.0</v>
      </c>
      <c r="D7" s="15"/>
      <c r="E7" s="15">
        <v>10.0</v>
      </c>
      <c r="F7" s="15"/>
      <c r="G7" s="15">
        <v>10.0</v>
      </c>
      <c r="H7" s="15"/>
      <c r="I7" s="15"/>
      <c r="J7" s="15">
        <v>20.0</v>
      </c>
      <c r="K7" s="15">
        <v>20.0</v>
      </c>
      <c r="L7" s="15">
        <v>17.0</v>
      </c>
      <c r="M7" s="17">
        <f t="shared" ref="M7:M9" si="2">SUM(C7:K7)</f>
        <v>85</v>
      </c>
      <c r="N7" s="15">
        <f t="shared" si="1"/>
        <v>7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5">
        <v>3.0</v>
      </c>
      <c r="B8" s="16" t="s">
        <v>71</v>
      </c>
      <c r="C8" s="15">
        <v>15.0</v>
      </c>
      <c r="D8" s="15"/>
      <c r="E8" s="15">
        <v>11.0</v>
      </c>
      <c r="F8" s="15"/>
      <c r="G8" s="15">
        <v>10.0</v>
      </c>
      <c r="H8" s="15">
        <v>15.0</v>
      </c>
      <c r="I8" s="15">
        <v>14.0</v>
      </c>
      <c r="J8" s="15">
        <v>20.0</v>
      </c>
      <c r="K8" s="15">
        <v>18.0</v>
      </c>
      <c r="L8" s="15">
        <v>16.0</v>
      </c>
      <c r="M8" s="17">
        <f t="shared" si="2"/>
        <v>103</v>
      </c>
      <c r="N8" s="15">
        <f t="shared" si="1"/>
        <v>5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5">
        <v>4.0</v>
      </c>
      <c r="B9" s="16" t="s">
        <v>72</v>
      </c>
      <c r="C9" s="15">
        <v>12.0</v>
      </c>
      <c r="D9" s="15"/>
      <c r="E9" s="15">
        <v>10.0</v>
      </c>
      <c r="F9" s="15"/>
      <c r="G9" s="15">
        <v>10.0</v>
      </c>
      <c r="H9" s="15">
        <v>13.0</v>
      </c>
      <c r="I9" s="15">
        <v>13.0</v>
      </c>
      <c r="J9" s="15">
        <v>24.0</v>
      </c>
      <c r="K9" s="15">
        <v>25.0</v>
      </c>
      <c r="L9" s="15">
        <v>10.0</v>
      </c>
      <c r="M9" s="17">
        <f t="shared" si="2"/>
        <v>107</v>
      </c>
      <c r="N9" s="15">
        <f t="shared" si="1"/>
        <v>4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5">
        <v>5.0</v>
      </c>
      <c r="B10" s="48" t="s">
        <v>73</v>
      </c>
      <c r="C10" s="15">
        <v>10.0</v>
      </c>
      <c r="D10" s="15"/>
      <c r="E10" s="15">
        <v>10.0</v>
      </c>
      <c r="F10" s="15"/>
      <c r="G10" s="15">
        <v>10.0</v>
      </c>
      <c r="H10" s="15"/>
      <c r="I10" s="15">
        <v>10.0</v>
      </c>
      <c r="J10" s="15">
        <v>10.0</v>
      </c>
      <c r="K10" s="15">
        <v>10.0</v>
      </c>
      <c r="L10" s="15">
        <v>14.0</v>
      </c>
      <c r="M10" s="15">
        <f>SUM(C10:L10)</f>
        <v>74</v>
      </c>
      <c r="N10" s="15">
        <f t="shared" si="1"/>
        <v>9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5">
        <v>6.0</v>
      </c>
      <c r="B11" s="16" t="s">
        <v>74</v>
      </c>
      <c r="C11" s="15">
        <v>10.0</v>
      </c>
      <c r="D11" s="15"/>
      <c r="E11" s="15">
        <v>10.0</v>
      </c>
      <c r="F11" s="15"/>
      <c r="G11" s="15">
        <v>10.0</v>
      </c>
      <c r="H11" s="15"/>
      <c r="I11" s="15">
        <v>10.0</v>
      </c>
      <c r="J11" s="15">
        <v>10.0</v>
      </c>
      <c r="K11" s="15">
        <v>10.0</v>
      </c>
      <c r="L11" s="15">
        <v>10.0</v>
      </c>
      <c r="M11" s="17">
        <f>SUM(C11:K11)</f>
        <v>60</v>
      </c>
      <c r="N11" s="15">
        <f t="shared" si="1"/>
        <v>11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5">
        <v>7.0</v>
      </c>
      <c r="B12" s="49" t="s">
        <v>75</v>
      </c>
      <c r="C12" s="50">
        <v>11.0</v>
      </c>
      <c r="D12" s="51"/>
      <c r="E12" s="50">
        <v>10.0</v>
      </c>
      <c r="F12" s="51"/>
      <c r="G12" s="15">
        <v>10.0</v>
      </c>
      <c r="H12" s="50">
        <v>10.0</v>
      </c>
      <c r="I12" s="50">
        <v>12.0</v>
      </c>
      <c r="J12" s="50">
        <v>10.0</v>
      </c>
      <c r="K12" s="50">
        <v>10.0</v>
      </c>
      <c r="L12" s="15">
        <v>10.0</v>
      </c>
      <c r="M12" s="17">
        <f>SUM(C12:L12)</f>
        <v>83</v>
      </c>
      <c r="N12" s="15">
        <f t="shared" si="1"/>
        <v>8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5">
        <v>8.0</v>
      </c>
      <c r="B13" s="49" t="s">
        <v>76</v>
      </c>
      <c r="C13" s="50">
        <v>10.0</v>
      </c>
      <c r="D13" s="51"/>
      <c r="E13" s="50">
        <v>10.0</v>
      </c>
      <c r="F13" s="51"/>
      <c r="G13" s="15">
        <v>10.0</v>
      </c>
      <c r="H13" s="50">
        <v>10.0</v>
      </c>
      <c r="I13" s="50">
        <v>10.0</v>
      </c>
      <c r="J13" s="50">
        <v>10.0</v>
      </c>
      <c r="K13" s="50">
        <v>10.0</v>
      </c>
      <c r="L13" s="15">
        <v>9.0</v>
      </c>
      <c r="M13" s="17">
        <f>SUM(C13:K13)</f>
        <v>70</v>
      </c>
      <c r="N13" s="15">
        <f t="shared" si="1"/>
        <v>10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5">
        <v>9.0</v>
      </c>
      <c r="B14" s="49" t="s">
        <v>77</v>
      </c>
      <c r="C14" s="50">
        <v>11.0</v>
      </c>
      <c r="D14" s="51"/>
      <c r="E14" s="50">
        <v>10.0</v>
      </c>
      <c r="F14" s="51"/>
      <c r="G14" s="15">
        <v>10.0</v>
      </c>
      <c r="H14" s="50">
        <v>10.0</v>
      </c>
      <c r="I14" s="50">
        <v>10.0</v>
      </c>
      <c r="J14" s="50">
        <v>17.0</v>
      </c>
      <c r="K14" s="50">
        <v>17.0</v>
      </c>
      <c r="L14" s="15">
        <v>10.0</v>
      </c>
      <c r="M14" s="15">
        <f>SUM(C14:L14)</f>
        <v>95</v>
      </c>
      <c r="N14" s="15">
        <f t="shared" si="1"/>
        <v>6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5">
        <v>10.0</v>
      </c>
      <c r="B15" s="49" t="s">
        <v>78</v>
      </c>
      <c r="C15" s="50">
        <v>17.0</v>
      </c>
      <c r="D15" s="51"/>
      <c r="E15" s="50">
        <v>18.0</v>
      </c>
      <c r="F15" s="51"/>
      <c r="G15" s="15">
        <v>10.0</v>
      </c>
      <c r="H15" s="50">
        <v>14.0</v>
      </c>
      <c r="I15" s="50">
        <v>18.0</v>
      </c>
      <c r="J15" s="50">
        <v>30.0</v>
      </c>
      <c r="K15" s="50">
        <v>29.0</v>
      </c>
      <c r="L15" s="15">
        <v>11.0</v>
      </c>
      <c r="M15" s="17">
        <f t="shared" ref="M15:M17" si="3">SUM(C15:K15)</f>
        <v>136</v>
      </c>
      <c r="N15" s="15">
        <f t="shared" si="1"/>
        <v>2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5">
        <v>11.0</v>
      </c>
      <c r="B16" s="49" t="s">
        <v>79</v>
      </c>
      <c r="C16" s="51"/>
      <c r="D16" s="51"/>
      <c r="E16" s="51"/>
      <c r="F16" s="51"/>
      <c r="G16" s="15"/>
      <c r="H16" s="51"/>
      <c r="I16" s="51"/>
      <c r="J16" s="51"/>
      <c r="K16" s="51"/>
      <c r="L16" s="15">
        <v>16.0</v>
      </c>
      <c r="M16" s="17">
        <f t="shared" si="3"/>
        <v>0</v>
      </c>
      <c r="N16" s="15">
        <f t="shared" si="1"/>
        <v>12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5">
        <v>12.0</v>
      </c>
      <c r="B17" s="49" t="s">
        <v>80</v>
      </c>
      <c r="C17" s="50">
        <v>15.0</v>
      </c>
      <c r="D17" s="51"/>
      <c r="E17" s="50">
        <v>18.0</v>
      </c>
      <c r="F17" s="51"/>
      <c r="G17" s="50">
        <v>23.0</v>
      </c>
      <c r="H17" s="50">
        <v>17.0</v>
      </c>
      <c r="I17" s="50">
        <v>13.0</v>
      </c>
      <c r="J17" s="50">
        <v>20.0</v>
      </c>
      <c r="K17" s="50">
        <v>20.0</v>
      </c>
      <c r="L17" s="15">
        <v>16.0</v>
      </c>
      <c r="M17" s="17">
        <f t="shared" si="3"/>
        <v>126</v>
      </c>
      <c r="N17" s="15">
        <f t="shared" si="1"/>
        <v>3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</sheetData>
  <mergeCells count="6">
    <mergeCell ref="A1:N1"/>
    <mergeCell ref="A2:N2"/>
    <mergeCell ref="A3:N3"/>
    <mergeCell ref="A4:A5"/>
    <mergeCell ref="B4:B5"/>
    <mergeCell ref="C4:N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7.13"/>
    <col customWidth="1" min="3" max="3" width="7.38"/>
    <col customWidth="1" min="4" max="4" width="7.75"/>
    <col customWidth="1" min="5" max="5" width="8.5"/>
    <col customWidth="1" min="6" max="6" width="7.88"/>
    <col customWidth="1" min="7" max="7" width="6.13"/>
    <col customWidth="1" min="8" max="8" width="7.0"/>
    <col customWidth="1" min="9" max="9" width="6.13"/>
    <col customWidth="1" min="10" max="10" width="5.13"/>
    <col customWidth="1" min="11" max="11" width="6.5"/>
    <col customWidth="1" min="12" max="12" width="5.63"/>
    <col customWidth="1" min="13" max="13" width="6.38"/>
    <col customWidth="1" min="14" max="14" width="5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N2" s="5"/>
    </row>
    <row r="3">
      <c r="A3" s="6" t="s">
        <v>68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>
      <c r="A4" s="20" t="s">
        <v>3</v>
      </c>
      <c r="B4" s="21" t="s">
        <v>4</v>
      </c>
      <c r="C4" s="22" t="s">
        <v>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</row>
    <row r="5">
      <c r="A5" s="12"/>
      <c r="B5" s="12"/>
      <c r="C5" s="14" t="s">
        <v>44</v>
      </c>
      <c r="D5" s="14" t="s">
        <v>45</v>
      </c>
      <c r="E5" s="14" t="s">
        <v>46</v>
      </c>
      <c r="F5" s="14" t="s">
        <v>47</v>
      </c>
      <c r="G5" s="14" t="s">
        <v>8</v>
      </c>
      <c r="H5" s="13" t="s">
        <v>9</v>
      </c>
      <c r="I5" s="14" t="s">
        <v>10</v>
      </c>
      <c r="J5" s="14" t="s">
        <v>48</v>
      </c>
      <c r="K5" s="14" t="s">
        <v>11</v>
      </c>
      <c r="L5" s="14" t="s">
        <v>49</v>
      </c>
      <c r="M5" s="14" t="s">
        <v>12</v>
      </c>
      <c r="N5" s="14" t="s">
        <v>13</v>
      </c>
    </row>
    <row r="6">
      <c r="A6" s="15">
        <v>1.0</v>
      </c>
      <c r="B6" s="16" t="s">
        <v>69</v>
      </c>
      <c r="C6" s="15">
        <v>24.0</v>
      </c>
      <c r="D6" s="15">
        <v>26.0</v>
      </c>
      <c r="E6" s="15">
        <v>24.0</v>
      </c>
      <c r="F6" s="15">
        <v>17.0</v>
      </c>
      <c r="G6" s="15">
        <v>24.0</v>
      </c>
      <c r="H6" s="15">
        <v>35.0</v>
      </c>
      <c r="I6" s="15">
        <v>42.0</v>
      </c>
      <c r="J6" s="15">
        <v>30.0</v>
      </c>
      <c r="K6" s="15">
        <v>24.0</v>
      </c>
      <c r="L6" s="15">
        <v>17.0</v>
      </c>
      <c r="M6" s="15">
        <f>SUM(C6:L6)</f>
        <v>263</v>
      </c>
      <c r="N6" s="15">
        <f t="shared" ref="N6:N17" si="1">RANK(M6,$M$6:$M$17)</f>
        <v>1</v>
      </c>
    </row>
    <row r="7">
      <c r="A7" s="15">
        <v>2.0</v>
      </c>
      <c r="B7" s="16" t="s">
        <v>70</v>
      </c>
      <c r="C7" s="15">
        <v>24.0</v>
      </c>
      <c r="D7" s="15">
        <v>17.0</v>
      </c>
      <c r="E7" s="15">
        <v>24.0</v>
      </c>
      <c r="F7" s="15">
        <v>17.0</v>
      </c>
      <c r="G7" s="15">
        <v>24.0</v>
      </c>
      <c r="H7" s="15">
        <v>24.0</v>
      </c>
      <c r="I7" s="15">
        <v>35.0</v>
      </c>
      <c r="J7" s="15">
        <v>29.0</v>
      </c>
      <c r="K7" s="15">
        <v>24.0</v>
      </c>
      <c r="L7" s="15">
        <v>17.0</v>
      </c>
      <c r="M7" s="15">
        <v>100.0</v>
      </c>
      <c r="N7" s="15">
        <f t="shared" si="1"/>
        <v>12</v>
      </c>
    </row>
    <row r="8">
      <c r="A8" s="15">
        <v>3.0</v>
      </c>
      <c r="B8" s="16" t="s">
        <v>71</v>
      </c>
      <c r="C8" s="15">
        <v>24.0</v>
      </c>
      <c r="D8" s="15">
        <v>20.0</v>
      </c>
      <c r="E8" s="15">
        <v>24.0</v>
      </c>
      <c r="F8" s="15">
        <v>17.0</v>
      </c>
      <c r="G8" s="15">
        <v>24.0</v>
      </c>
      <c r="H8" s="15">
        <v>24.0</v>
      </c>
      <c r="I8" s="15">
        <v>24.0</v>
      </c>
      <c r="J8" s="15">
        <v>24.0</v>
      </c>
      <c r="K8" s="15">
        <v>24.0</v>
      </c>
      <c r="L8" s="15">
        <v>16.0</v>
      </c>
      <c r="M8" s="17">
        <f t="shared" ref="M8:M17" si="2">SUM(C8:L8)</f>
        <v>221</v>
      </c>
      <c r="N8" s="15">
        <f t="shared" si="1"/>
        <v>5</v>
      </c>
    </row>
    <row r="9">
      <c r="A9" s="15">
        <v>4.0</v>
      </c>
      <c r="B9" s="16" t="s">
        <v>72</v>
      </c>
      <c r="C9" s="15">
        <v>24.0</v>
      </c>
      <c r="D9" s="15">
        <v>31.0</v>
      </c>
      <c r="E9" s="15">
        <v>24.0</v>
      </c>
      <c r="F9" s="15">
        <v>17.0</v>
      </c>
      <c r="G9" s="15">
        <v>24.0</v>
      </c>
      <c r="H9" s="15">
        <v>28.0</v>
      </c>
      <c r="I9" s="15">
        <v>40.0</v>
      </c>
      <c r="J9" s="15">
        <v>40.0</v>
      </c>
      <c r="K9" s="15">
        <v>24.0</v>
      </c>
      <c r="L9" s="15">
        <v>10.0</v>
      </c>
      <c r="M9" s="17">
        <f t="shared" si="2"/>
        <v>262</v>
      </c>
      <c r="N9" s="15">
        <f t="shared" si="1"/>
        <v>2</v>
      </c>
    </row>
    <row r="10">
      <c r="A10" s="15">
        <v>5.0</v>
      </c>
      <c r="B10" s="52" t="s">
        <v>73</v>
      </c>
      <c r="C10" s="15">
        <v>24.0</v>
      </c>
      <c r="D10" s="15">
        <v>17.0</v>
      </c>
      <c r="E10" s="15">
        <v>24.0</v>
      </c>
      <c r="F10" s="15">
        <v>17.0</v>
      </c>
      <c r="G10" s="15">
        <v>24.0</v>
      </c>
      <c r="H10" s="15">
        <v>24.0</v>
      </c>
      <c r="I10" s="15">
        <v>24.0</v>
      </c>
      <c r="J10" s="15">
        <v>24.0</v>
      </c>
      <c r="K10" s="15">
        <v>24.0</v>
      </c>
      <c r="L10" s="15">
        <v>14.0</v>
      </c>
      <c r="M10" s="15">
        <f t="shared" si="2"/>
        <v>216</v>
      </c>
      <c r="N10" s="15">
        <f t="shared" si="1"/>
        <v>8</v>
      </c>
    </row>
    <row r="11">
      <c r="A11" s="15">
        <v>6.0</v>
      </c>
      <c r="B11" s="16" t="s">
        <v>74</v>
      </c>
      <c r="C11" s="15">
        <v>24.0</v>
      </c>
      <c r="D11" s="15">
        <v>17.0</v>
      </c>
      <c r="E11" s="15">
        <v>24.0</v>
      </c>
      <c r="F11" s="15">
        <v>17.0</v>
      </c>
      <c r="G11" s="15">
        <v>24.0</v>
      </c>
      <c r="H11" s="15">
        <v>24.0</v>
      </c>
      <c r="I11" s="15">
        <v>24.0</v>
      </c>
      <c r="J11" s="15">
        <v>24.0</v>
      </c>
      <c r="K11" s="15">
        <v>24.0</v>
      </c>
      <c r="L11" s="15">
        <v>10.0</v>
      </c>
      <c r="M11" s="17">
        <f t="shared" si="2"/>
        <v>212</v>
      </c>
      <c r="N11" s="15">
        <f t="shared" si="1"/>
        <v>10</v>
      </c>
    </row>
    <row r="12">
      <c r="A12" s="15">
        <v>7.0</v>
      </c>
      <c r="B12" s="16" t="s">
        <v>75</v>
      </c>
      <c r="C12" s="15">
        <v>24.0</v>
      </c>
      <c r="D12" s="15">
        <v>17.0</v>
      </c>
      <c r="E12" s="15">
        <v>24.0</v>
      </c>
      <c r="F12" s="15">
        <v>17.0</v>
      </c>
      <c r="G12" s="15">
        <v>24.0</v>
      </c>
      <c r="H12" s="15">
        <v>24.0</v>
      </c>
      <c r="I12" s="15">
        <v>26.0</v>
      </c>
      <c r="J12" s="15">
        <v>24.0</v>
      </c>
      <c r="K12" s="15">
        <v>24.0</v>
      </c>
      <c r="L12" s="15">
        <v>10.0</v>
      </c>
      <c r="M12" s="17">
        <f t="shared" si="2"/>
        <v>214</v>
      </c>
      <c r="N12" s="15">
        <f t="shared" si="1"/>
        <v>9</v>
      </c>
    </row>
    <row r="13">
      <c r="A13" s="15">
        <v>8.0</v>
      </c>
      <c r="B13" s="16" t="s">
        <v>76</v>
      </c>
      <c r="C13" s="15">
        <v>24.0</v>
      </c>
      <c r="D13" s="15">
        <v>17.0</v>
      </c>
      <c r="E13" s="15">
        <v>24.0</v>
      </c>
      <c r="F13" s="15">
        <v>17.0</v>
      </c>
      <c r="G13" s="15">
        <v>24.0</v>
      </c>
      <c r="H13" s="15">
        <v>24.0</v>
      </c>
      <c r="I13" s="15">
        <v>24.0</v>
      </c>
      <c r="J13" s="15">
        <v>24.0</v>
      </c>
      <c r="K13" s="15">
        <v>24.0</v>
      </c>
      <c r="L13" s="15">
        <v>9.0</v>
      </c>
      <c r="M13" s="17">
        <f t="shared" si="2"/>
        <v>211</v>
      </c>
      <c r="N13" s="15">
        <f t="shared" si="1"/>
        <v>11</v>
      </c>
    </row>
    <row r="14">
      <c r="A14" s="15">
        <v>9.0</v>
      </c>
      <c r="B14" s="16" t="s">
        <v>77</v>
      </c>
      <c r="C14" s="15">
        <v>24.0</v>
      </c>
      <c r="D14" s="15">
        <v>18.0</v>
      </c>
      <c r="E14" s="15">
        <v>24.0</v>
      </c>
      <c r="F14" s="15">
        <v>17.0</v>
      </c>
      <c r="G14" s="15">
        <v>24.0</v>
      </c>
      <c r="H14" s="15">
        <v>24.0</v>
      </c>
      <c r="I14" s="15">
        <v>29.0</v>
      </c>
      <c r="J14" s="15">
        <v>24.0</v>
      </c>
      <c r="K14" s="15">
        <v>24.0</v>
      </c>
      <c r="L14" s="15">
        <v>10.0</v>
      </c>
      <c r="M14" s="15">
        <f t="shared" si="2"/>
        <v>218</v>
      </c>
      <c r="N14" s="15">
        <f t="shared" si="1"/>
        <v>6</v>
      </c>
    </row>
    <row r="15">
      <c r="A15" s="15">
        <v>10.0</v>
      </c>
      <c r="B15" s="16" t="s">
        <v>78</v>
      </c>
      <c r="C15" s="15">
        <v>24.0</v>
      </c>
      <c r="D15" s="15">
        <v>27.0</v>
      </c>
      <c r="E15" s="15">
        <v>24.0</v>
      </c>
      <c r="F15" s="15">
        <v>17.0</v>
      </c>
      <c r="G15" s="15">
        <v>24.0</v>
      </c>
      <c r="H15" s="15">
        <v>24.0</v>
      </c>
      <c r="I15" s="15">
        <v>24.0</v>
      </c>
      <c r="J15" s="15">
        <v>24.0</v>
      </c>
      <c r="K15" s="15">
        <v>24.0</v>
      </c>
      <c r="L15" s="15">
        <v>11.0</v>
      </c>
      <c r="M15" s="17">
        <f t="shared" si="2"/>
        <v>223</v>
      </c>
      <c r="N15" s="15">
        <f t="shared" si="1"/>
        <v>4</v>
      </c>
    </row>
    <row r="16">
      <c r="A16" s="15">
        <v>11.0</v>
      </c>
      <c r="B16" s="16" t="s">
        <v>79</v>
      </c>
      <c r="C16" s="15">
        <v>24.0</v>
      </c>
      <c r="D16" s="15">
        <v>17.0</v>
      </c>
      <c r="E16" s="15">
        <v>24.0</v>
      </c>
      <c r="F16" s="15">
        <v>17.0</v>
      </c>
      <c r="G16" s="15">
        <v>24.0</v>
      </c>
      <c r="H16" s="15">
        <v>24.0</v>
      </c>
      <c r="I16" s="15">
        <v>24.0</v>
      </c>
      <c r="J16" s="15">
        <v>24.0</v>
      </c>
      <c r="K16" s="15">
        <v>24.0</v>
      </c>
      <c r="L16" s="15">
        <v>16.0</v>
      </c>
      <c r="M16" s="17">
        <f t="shared" si="2"/>
        <v>218</v>
      </c>
      <c r="N16" s="15">
        <f t="shared" si="1"/>
        <v>6</v>
      </c>
    </row>
    <row r="17">
      <c r="A17" s="15">
        <v>12.0</v>
      </c>
      <c r="B17" s="16" t="s">
        <v>80</v>
      </c>
      <c r="C17" s="15">
        <v>24.0</v>
      </c>
      <c r="D17" s="15">
        <v>17.0</v>
      </c>
      <c r="E17" s="15">
        <v>24.0</v>
      </c>
      <c r="F17" s="15">
        <v>17.0</v>
      </c>
      <c r="G17" s="15">
        <v>24.0</v>
      </c>
      <c r="H17" s="15">
        <v>28.0</v>
      </c>
      <c r="I17" s="15">
        <v>24.0</v>
      </c>
      <c r="J17" s="15">
        <v>30.0</v>
      </c>
      <c r="K17" s="15">
        <v>24.0</v>
      </c>
      <c r="L17" s="15">
        <v>16.0</v>
      </c>
      <c r="M17" s="17">
        <f t="shared" si="2"/>
        <v>228</v>
      </c>
      <c r="N17" s="15">
        <f t="shared" si="1"/>
        <v>3</v>
      </c>
    </row>
  </sheetData>
  <mergeCells count="6">
    <mergeCell ref="A1:N1"/>
    <mergeCell ref="A2:N2"/>
    <mergeCell ref="A3:N3"/>
    <mergeCell ref="A4:A5"/>
    <mergeCell ref="B4:B5"/>
    <mergeCell ref="C4:N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</cols>
  <sheetData>
    <row r="1">
      <c r="A1" s="30" t="s">
        <v>3</v>
      </c>
      <c r="B1" s="31" t="s">
        <v>31</v>
      </c>
      <c r="C1" s="42" t="str">
        <f>'8s'!B6</f>
        <v>TANVIN ISLAM</v>
      </c>
      <c r="D1" s="23"/>
      <c r="E1" s="23"/>
      <c r="F1" s="23"/>
      <c r="G1" s="23"/>
      <c r="H1" s="24"/>
    </row>
    <row r="2">
      <c r="A2" s="47">
        <v>1.0</v>
      </c>
      <c r="B2" s="35" t="s">
        <v>32</v>
      </c>
      <c r="C2" s="36" t="s">
        <v>33</v>
      </c>
      <c r="D2" s="36" t="s">
        <v>34</v>
      </c>
      <c r="E2" s="35" t="s">
        <v>35</v>
      </c>
      <c r="F2" s="36" t="s">
        <v>36</v>
      </c>
      <c r="G2" s="36" t="s">
        <v>37</v>
      </c>
      <c r="H2" s="36" t="s">
        <v>38</v>
      </c>
    </row>
    <row r="3">
      <c r="A3" s="5"/>
      <c r="B3" s="37" t="s">
        <v>44</v>
      </c>
      <c r="C3" s="37">
        <f>'8t'!C6</f>
        <v>28</v>
      </c>
      <c r="D3" s="37">
        <f>'8s'!C6</f>
        <v>24</v>
      </c>
      <c r="E3" s="38">
        <f t="shared" ref="E3:E12" si="1">SUM(C3:D3)</f>
        <v>52</v>
      </c>
      <c r="F3" s="38" t="str">
        <f>IF(E3&gt;=80,"A+",
IF(E3&gt;=70,"A",
IF(E3&gt;=60,"A-",
IF(E3&gt;=50,"B",
IF(E3&gt;=40,"C",
IF(E3&gt;=33,"D","F"))))))
</f>
        <v>B</v>
      </c>
      <c r="G3" s="38">
        <f>IF(E3&gt;=80,5,
IF(E3&gt;=70,4,
IF(E3&gt;=60,3.5,
IF(E3&gt;=50,3,
IF(E3&gt;=40,2,
IF(E3&gt;=33,1,0))))))</f>
        <v>3</v>
      </c>
      <c r="H3" s="40">
        <f>AVERAGE(
VALUE(G3),
VALUE(G4),
VALUE(G5),
VALUE(G6),
VALUE(G7),
VALUE(G8),
VALUE(G9),
VALUE(G10),
VALUE(G11),
VALUE(G12))</f>
        <v>2.65</v>
      </c>
    </row>
    <row r="4">
      <c r="A4" s="5"/>
      <c r="B4" s="37" t="s">
        <v>45</v>
      </c>
      <c r="C4" s="37" t="str">
        <f>'8t'!D6</f>
        <v/>
      </c>
      <c r="D4" s="37">
        <f>'8s'!D6</f>
        <v>26</v>
      </c>
      <c r="E4" s="38">
        <f t="shared" si="1"/>
        <v>26</v>
      </c>
      <c r="F4" s="38" t="str">
        <f>IF(E4&gt;=40,"A+",
IF(E4&gt;=35,"A",
IF(E4&gt;=30,"A-",
IF(E4&gt;=25,"B",
IF(E4&gt;=20,"C",
IF(E4&gt;=16,"D","F"))))))
</f>
        <v>B</v>
      </c>
      <c r="G4" s="38">
        <f>IF(E4&gt;=40,5,
IF(E4&gt;=35,4,
IF(E4&gt;=30,3.5,
IF(E4&gt;=25,3,
IF(E4&gt;=20,2,
IF(E4&gt;=16,1,0))))))</f>
        <v>3</v>
      </c>
      <c r="H4" s="41"/>
    </row>
    <row r="5">
      <c r="A5" s="5"/>
      <c r="B5" s="37" t="s">
        <v>57</v>
      </c>
      <c r="C5" s="37">
        <f>'8t'!E6</f>
        <v>10</v>
      </c>
      <c r="D5" s="37">
        <f>'8s'!E6</f>
        <v>24</v>
      </c>
      <c r="E5" s="38">
        <f t="shared" si="1"/>
        <v>34</v>
      </c>
      <c r="F5" s="38" t="str">
        <f>IF(E5&gt;=80,"A+",
IF(E5&gt;=70,"A",
IF(E5&gt;=60,"A-",
IF(E5&gt;=50,"B",
IF(E5&gt;=40,"C",
IF(E5&gt;=33,"D","F"))))))
</f>
        <v>D</v>
      </c>
      <c r="G5" s="38">
        <f>IF(E5&gt;=80,5,
IF(E5&gt;=70,4,
IF(E5&gt;=60,3.5,
IF(E5&gt;=50,3,
IF(E5&gt;=40,2,
IF(E5&gt;=33,1,0))))))</f>
        <v>1</v>
      </c>
      <c r="H5" s="41"/>
    </row>
    <row r="6">
      <c r="A6" s="5"/>
      <c r="B6" s="37" t="s">
        <v>58</v>
      </c>
      <c r="C6" s="37" t="str">
        <f>'8t'!F6</f>
        <v/>
      </c>
      <c r="D6" s="37">
        <f>'8s'!F6</f>
        <v>17</v>
      </c>
      <c r="E6" s="38">
        <f t="shared" si="1"/>
        <v>17</v>
      </c>
      <c r="F6" s="38" t="str">
        <f>IF(E6&gt;=40,"A+",
IF(E6&gt;=35,"A",
IF(E6&gt;=30,"A-",
IF(E6&gt;=25,"B",
IF(E6&gt;=20,"C",
IF(E6&gt;=16,"D","F"))))))
</f>
        <v>D</v>
      </c>
      <c r="G6" s="38">
        <f>IF(E6&gt;=40,5,
IF(E6&gt;=35,4,
IF(E6&gt;=30,3.5,
IF(E6&gt;=25,3,
IF(E6&gt;=20,2,
IF(E6&gt;=16,1,0))))))</f>
        <v>1</v>
      </c>
      <c r="H6" s="41"/>
    </row>
    <row r="7">
      <c r="A7" s="5"/>
      <c r="B7" s="38" t="s">
        <v>40</v>
      </c>
      <c r="C7" s="37">
        <f>'8t'!G6</f>
        <v>20</v>
      </c>
      <c r="D7" s="37">
        <f>'8s'!G6</f>
        <v>24</v>
      </c>
      <c r="E7" s="38">
        <f t="shared" si="1"/>
        <v>44</v>
      </c>
      <c r="F7" s="38" t="str">
        <f t="shared" ref="F7:F11" si="2">IF(E7&gt;=80,"A+",
IF(E7&gt;=70,"A",
IF(E7&gt;=60,"A-",
IF(E7&gt;=50,"B",
IF(E7&gt;=40,"C",
IF(E7&gt;=33,"D","F"))))))
</f>
        <v>C</v>
      </c>
      <c r="G7" s="38">
        <f t="shared" ref="G7:G11" si="3">IF(E7&gt;=80,5,
IF(E7&gt;=70,4,
IF(E7&gt;=60,3.5,
IF(E7&gt;=50,3,
IF(E7&gt;=40,2,
IF(E7&gt;=33,1,0))))))</f>
        <v>2</v>
      </c>
      <c r="H7" s="41"/>
    </row>
    <row r="8">
      <c r="A8" s="5"/>
      <c r="B8" s="38" t="s">
        <v>41</v>
      </c>
      <c r="C8" s="38">
        <f>'8t'!H6</f>
        <v>18</v>
      </c>
      <c r="D8" s="38">
        <f>'8s'!H6</f>
        <v>35</v>
      </c>
      <c r="E8" s="38">
        <f t="shared" si="1"/>
        <v>53</v>
      </c>
      <c r="F8" s="38" t="str">
        <f t="shared" si="2"/>
        <v>B</v>
      </c>
      <c r="G8" s="38">
        <f t="shared" si="3"/>
        <v>3</v>
      </c>
      <c r="H8" s="41"/>
    </row>
    <row r="9">
      <c r="A9" s="5"/>
      <c r="B9" s="38" t="s">
        <v>10</v>
      </c>
      <c r="C9" s="38">
        <f>'8t'!I6</f>
        <v>19</v>
      </c>
      <c r="D9" s="38">
        <f>'8s'!I6</f>
        <v>42</v>
      </c>
      <c r="E9" s="38">
        <f t="shared" si="1"/>
        <v>61</v>
      </c>
      <c r="F9" s="38" t="str">
        <f t="shared" si="2"/>
        <v>A-</v>
      </c>
      <c r="G9" s="38">
        <f t="shared" si="3"/>
        <v>3.5</v>
      </c>
      <c r="H9" s="41"/>
    </row>
    <row r="10">
      <c r="A10" s="5"/>
      <c r="B10" s="37" t="s">
        <v>48</v>
      </c>
      <c r="C10" s="38">
        <f>'8t'!J6</f>
        <v>30</v>
      </c>
      <c r="D10" s="38">
        <f>'8s'!J6</f>
        <v>30</v>
      </c>
      <c r="E10" s="38">
        <f t="shared" si="1"/>
        <v>60</v>
      </c>
      <c r="F10" s="38" t="str">
        <f t="shared" si="2"/>
        <v>A-</v>
      </c>
      <c r="G10" s="38">
        <f t="shared" si="3"/>
        <v>3.5</v>
      </c>
      <c r="H10" s="41"/>
    </row>
    <row r="11">
      <c r="A11" s="5"/>
      <c r="B11" s="38" t="s">
        <v>11</v>
      </c>
      <c r="C11" s="38">
        <f>'8t'!K6</f>
        <v>30</v>
      </c>
      <c r="D11" s="38">
        <f>'8s'!K6</f>
        <v>24</v>
      </c>
      <c r="E11" s="38">
        <f t="shared" si="1"/>
        <v>54</v>
      </c>
      <c r="F11" s="38" t="str">
        <f t="shared" si="2"/>
        <v>B</v>
      </c>
      <c r="G11" s="38">
        <f t="shared" si="3"/>
        <v>3</v>
      </c>
      <c r="H11" s="41"/>
    </row>
    <row r="12">
      <c r="A12" s="8"/>
      <c r="B12" s="37" t="s">
        <v>49</v>
      </c>
      <c r="C12" s="38">
        <f>'8t'!L6</f>
        <v>17</v>
      </c>
      <c r="D12" s="38">
        <f>'8s'!L6</f>
        <v>17</v>
      </c>
      <c r="E12" s="38">
        <f t="shared" si="1"/>
        <v>34</v>
      </c>
      <c r="F12" s="38" t="str">
        <f>IF(E12&gt;=40,"A+",
IF(E12&gt;=35,"A",
IF(E12&gt;=30,"A-",
IF(E12&gt;=25,"B",
IF(E12&gt;=20,"C",
IF(E12&gt;=16,"D","F"))))))
</f>
        <v>A-</v>
      </c>
      <c r="G12" s="38">
        <f>IF(E12&gt;=40,5,
IF(E12&gt;=35,4,
IF(E12&gt;=30,3.5,
IF(E12&gt;=25,3,
IF(E12&gt;=20,2,
IF(E12&gt;=16,1,0))))))</f>
        <v>3.5</v>
      </c>
      <c r="H12" s="12"/>
    </row>
    <row r="13">
      <c r="A13" s="30" t="s">
        <v>3</v>
      </c>
      <c r="B13" s="31" t="s">
        <v>31</v>
      </c>
      <c r="C13" s="42" t="str">
        <f>'8s'!B7</f>
        <v>RAJU ISLAM</v>
      </c>
      <c r="D13" s="23"/>
      <c r="E13" s="23"/>
      <c r="F13" s="23"/>
      <c r="G13" s="23"/>
      <c r="H13" s="24"/>
    </row>
    <row r="14">
      <c r="A14" s="47">
        <v>2.0</v>
      </c>
      <c r="B14" s="35" t="s">
        <v>32</v>
      </c>
      <c r="C14" s="36" t="str">
        <f>'8'!C2</f>
        <v>3rd Tutorial
Exam (30)</v>
      </c>
      <c r="D14" s="36" t="str">
        <f>'8'!D2</f>
        <v>3rd Semester
Exam (70)</v>
      </c>
      <c r="E14" s="35" t="s">
        <v>35</v>
      </c>
      <c r="F14" s="36" t="s">
        <v>36</v>
      </c>
      <c r="G14" s="36" t="s">
        <v>37</v>
      </c>
      <c r="H14" s="36" t="s">
        <v>38</v>
      </c>
    </row>
    <row r="15">
      <c r="A15" s="5"/>
      <c r="B15" s="37" t="s">
        <v>44</v>
      </c>
      <c r="C15" s="37">
        <f>'8t'!C7</f>
        <v>25</v>
      </c>
      <c r="D15" s="37">
        <f>'8s'!C7</f>
        <v>24</v>
      </c>
      <c r="E15" s="38">
        <f t="shared" ref="E15:E24" si="4">SUM(C15:D15)</f>
        <v>49</v>
      </c>
      <c r="F15" s="38" t="str">
        <f>IF(E15&gt;=80,"A+",
IF(E15&gt;=70,"A",
IF(E15&gt;=60,"A-",
IF(E15&gt;=50,"B",
IF(E15&gt;=40,"C",
IF(E15&gt;=33,"D","F"))))))
</f>
        <v>C</v>
      </c>
      <c r="G15" s="38">
        <f>IF(E15&gt;=80,5,
IF(E15&gt;=70,4,
IF(E15&gt;=60,3.5,
IF(E15&gt;=50,3,
IF(E15&gt;=40,2,
IF(E15&gt;=33,1,0))))))</f>
        <v>2</v>
      </c>
      <c r="H15" s="40">
        <f>AVERAGE(
VALUE(G15),
VALUE(G16),
VALUE(G17),
VALUE(G18),
VALUE(G19),
VALUE(G20),
VALUE(G21),
VALUE(G22),
VALUE(G23),
VALUE(G24))</f>
        <v>1.75</v>
      </c>
    </row>
    <row r="16">
      <c r="A16" s="5"/>
      <c r="B16" s="37" t="s">
        <v>45</v>
      </c>
      <c r="C16" s="37" t="str">
        <f>'8t'!D7</f>
        <v/>
      </c>
      <c r="D16" s="37">
        <f>'8s'!D7</f>
        <v>17</v>
      </c>
      <c r="E16" s="38">
        <f t="shared" si="4"/>
        <v>17</v>
      </c>
      <c r="F16" s="38" t="str">
        <f>IF(E16&gt;=40,"A+",
IF(E16&gt;=35,"A",
IF(E16&gt;=30,"A-",
IF(E16&gt;=25,"B",
IF(E16&gt;=20,"C",
IF(E16&gt;=16,"D","F"))))))
</f>
        <v>D</v>
      </c>
      <c r="G16" s="38">
        <f>IF(E16&gt;=40,5,
IF(E16&gt;=35,4,
IF(E16&gt;=30,3.5,
IF(E16&gt;=25,3,
IF(E16&gt;=20,2,
IF(E16&gt;=16,1,0))))))</f>
        <v>1</v>
      </c>
      <c r="H16" s="41"/>
    </row>
    <row r="17">
      <c r="A17" s="5"/>
      <c r="B17" s="37" t="s">
        <v>57</v>
      </c>
      <c r="C17" s="37">
        <f>'8t'!E7</f>
        <v>10</v>
      </c>
      <c r="D17" s="37">
        <f>'8s'!E7</f>
        <v>24</v>
      </c>
      <c r="E17" s="38">
        <f t="shared" si="4"/>
        <v>34</v>
      </c>
      <c r="F17" s="38" t="str">
        <f>IF(E17&gt;=80,"A+",
IF(E17&gt;=70,"A",
IF(E17&gt;=60,"A-",
IF(E17&gt;=50,"B",
IF(E17&gt;=40,"C",
IF(E17&gt;=33,"D","F"))))))
</f>
        <v>D</v>
      </c>
      <c r="G17" s="38">
        <f>IF(E17&gt;=80,5,
IF(E17&gt;=70,4,
IF(E17&gt;=60,3.5,
IF(E17&gt;=50,3,
IF(E17&gt;=40,2,
IF(E17&gt;=33,1,0))))))</f>
        <v>1</v>
      </c>
      <c r="H17" s="41"/>
    </row>
    <row r="18">
      <c r="A18" s="5"/>
      <c r="B18" s="37" t="s">
        <v>58</v>
      </c>
      <c r="C18" s="37" t="str">
        <f>'8t'!F7</f>
        <v/>
      </c>
      <c r="D18" s="37">
        <f>'8s'!F7</f>
        <v>17</v>
      </c>
      <c r="E18" s="38">
        <f t="shared" si="4"/>
        <v>17</v>
      </c>
      <c r="F18" s="38" t="str">
        <f>IF(E18&gt;=40,"A+",
IF(E18&gt;=35,"A",
IF(E18&gt;=30,"A-",
IF(E18&gt;=25,"B",
IF(E18&gt;=20,"C",
IF(E18&gt;=16,"D","F"))))))
</f>
        <v>D</v>
      </c>
      <c r="G18" s="38">
        <f>IF(E18&gt;=40,5,
IF(E18&gt;=35,4,
IF(E18&gt;=30,3.5,
IF(E18&gt;=25,3,
IF(E18&gt;=20,2,
IF(E18&gt;=16,1,0))))))</f>
        <v>1</v>
      </c>
      <c r="H18" s="41"/>
    </row>
    <row r="19">
      <c r="A19" s="5"/>
      <c r="B19" s="38" t="s">
        <v>40</v>
      </c>
      <c r="C19" s="37">
        <f>'8t'!G7</f>
        <v>10</v>
      </c>
      <c r="D19" s="37">
        <f>'8s'!G7</f>
        <v>24</v>
      </c>
      <c r="E19" s="38">
        <f t="shared" si="4"/>
        <v>34</v>
      </c>
      <c r="F19" s="38" t="str">
        <f t="shared" ref="F19:F23" si="5">IF(E19&gt;=80,"A+",
IF(E19&gt;=70,"A",
IF(E19&gt;=60,"A-",
IF(E19&gt;=50,"B",
IF(E19&gt;=40,"C",
IF(E19&gt;=33,"D","F"))))))
</f>
        <v>D</v>
      </c>
      <c r="G19" s="38">
        <f t="shared" ref="G19:G23" si="6">IF(E19&gt;=80,5,
IF(E19&gt;=70,4,
IF(E19&gt;=60,3.5,
IF(E19&gt;=50,3,
IF(E19&gt;=40,2,
IF(E19&gt;=33,1,0))))))</f>
        <v>1</v>
      </c>
      <c r="H19" s="41"/>
    </row>
    <row r="20">
      <c r="A20" s="5"/>
      <c r="B20" s="38" t="s">
        <v>41</v>
      </c>
      <c r="C20" s="38">
        <f>'7t'!H7</f>
        <v>28</v>
      </c>
      <c r="D20" s="38">
        <f>'8s'!H7</f>
        <v>24</v>
      </c>
      <c r="E20" s="38">
        <f t="shared" si="4"/>
        <v>52</v>
      </c>
      <c r="F20" s="38" t="str">
        <f t="shared" si="5"/>
        <v>B</v>
      </c>
      <c r="G20" s="38">
        <f t="shared" si="6"/>
        <v>3</v>
      </c>
      <c r="H20" s="41"/>
    </row>
    <row r="21">
      <c r="A21" s="5"/>
      <c r="B21" s="38" t="s">
        <v>10</v>
      </c>
      <c r="C21" s="38" t="str">
        <f>'8t'!I7</f>
        <v/>
      </c>
      <c r="D21" s="38">
        <f>'8s'!I7</f>
        <v>35</v>
      </c>
      <c r="E21" s="38">
        <f t="shared" si="4"/>
        <v>35</v>
      </c>
      <c r="F21" s="38" t="str">
        <f t="shared" si="5"/>
        <v>D</v>
      </c>
      <c r="G21" s="38">
        <f t="shared" si="6"/>
        <v>1</v>
      </c>
      <c r="H21" s="41"/>
    </row>
    <row r="22">
      <c r="A22" s="5"/>
      <c r="B22" s="37" t="s">
        <v>48</v>
      </c>
      <c r="C22" s="38">
        <f>'8t'!J7</f>
        <v>20</v>
      </c>
      <c r="D22" s="38">
        <f>'8s'!J7</f>
        <v>29</v>
      </c>
      <c r="E22" s="38">
        <f t="shared" si="4"/>
        <v>49</v>
      </c>
      <c r="F22" s="38" t="str">
        <f t="shared" si="5"/>
        <v>C</v>
      </c>
      <c r="G22" s="38">
        <f t="shared" si="6"/>
        <v>2</v>
      </c>
      <c r="H22" s="41"/>
    </row>
    <row r="23">
      <c r="A23" s="5"/>
      <c r="B23" s="38" t="s">
        <v>11</v>
      </c>
      <c r="C23" s="38">
        <f>'8t'!K7</f>
        <v>20</v>
      </c>
      <c r="D23" s="38">
        <f>'8s'!K7</f>
        <v>24</v>
      </c>
      <c r="E23" s="38">
        <f t="shared" si="4"/>
        <v>44</v>
      </c>
      <c r="F23" s="38" t="str">
        <f t="shared" si="5"/>
        <v>C</v>
      </c>
      <c r="G23" s="38">
        <f t="shared" si="6"/>
        <v>2</v>
      </c>
      <c r="H23" s="41"/>
    </row>
    <row r="24">
      <c r="A24" s="8"/>
      <c r="B24" s="37" t="s">
        <v>49</v>
      </c>
      <c r="C24" s="38">
        <f>'8t'!L7</f>
        <v>17</v>
      </c>
      <c r="D24" s="38">
        <f>'8s'!L7</f>
        <v>17</v>
      </c>
      <c r="E24" s="38">
        <f t="shared" si="4"/>
        <v>34</v>
      </c>
      <c r="F24" s="38" t="str">
        <f>IF(E24&gt;=40,"A+",
IF(E24&gt;=35,"A",
IF(E24&gt;=30,"A-",
IF(E24&gt;=25,"B",
IF(E24&gt;=20,"C",
IF(E24&gt;=16,"D","F"))))))
</f>
        <v>A-</v>
      </c>
      <c r="G24" s="38">
        <f>IF(E24&gt;=40,5,
IF(E24&gt;=35,4,
IF(E24&gt;=30,3.5,
IF(E24&gt;=25,3,
IF(E24&gt;=20,2,
IF(E24&gt;=16,1,0))))))</f>
        <v>3.5</v>
      </c>
      <c r="H24" s="12"/>
    </row>
    <row r="25">
      <c r="A25" s="30" t="s">
        <v>3</v>
      </c>
      <c r="B25" s="31" t="s">
        <v>31</v>
      </c>
      <c r="C25" s="42" t="str">
        <f>'8s'!B8</f>
        <v>MAINUL ISLAM</v>
      </c>
      <c r="D25" s="23"/>
      <c r="E25" s="23"/>
      <c r="F25" s="23"/>
      <c r="G25" s="23"/>
      <c r="H25" s="24"/>
    </row>
    <row r="26">
      <c r="A26" s="47">
        <v>3.0</v>
      </c>
      <c r="B26" s="35" t="s">
        <v>32</v>
      </c>
      <c r="C26" s="36" t="str">
        <f>'8'!C14</f>
        <v>3rd Tutorial
Exam (30)</v>
      </c>
      <c r="D26" s="36" t="str">
        <f>'8'!D14</f>
        <v>3rd Semester
Exam (70)</v>
      </c>
      <c r="E26" s="35" t="s">
        <v>35</v>
      </c>
      <c r="F26" s="36" t="s">
        <v>36</v>
      </c>
      <c r="G26" s="36" t="s">
        <v>37</v>
      </c>
      <c r="H26" s="36" t="s">
        <v>38</v>
      </c>
    </row>
    <row r="27">
      <c r="A27" s="5"/>
      <c r="B27" s="37" t="s">
        <v>44</v>
      </c>
      <c r="C27" s="37">
        <f>'8t'!C8</f>
        <v>15</v>
      </c>
      <c r="D27" s="37">
        <f>'8s'!C8</f>
        <v>24</v>
      </c>
      <c r="E27" s="38">
        <f t="shared" ref="E27:E36" si="7">SUM(C27:D27)</f>
        <v>39</v>
      </c>
      <c r="F27" s="38" t="str">
        <f>IF(E27&gt;=80,"A+",
IF(E27&gt;=70,"A",
IF(E27&gt;=60,"A-",
IF(E27&gt;=50,"B",
IF(E27&gt;=40,"C",
IF(E27&gt;=33,"D","F"))))))
</f>
        <v>D</v>
      </c>
      <c r="G27" s="38">
        <f>IF(E27&gt;=80,5,
IF(E27&gt;=70,4,
IF(E27&gt;=60,3.5,
IF(E27&gt;=50,3,
IF(E27&gt;=40,2,
IF(E27&gt;=33,1,0))))))</f>
        <v>1</v>
      </c>
      <c r="H27" s="40">
        <f>AVERAGE(
VALUE(G27),
VALUE(G28),
VALUE(G29),
VALUE(G30),
VALUE(G31),
VALUE(G32),
VALUE(G33),
VALUE(G34),
VALUE(G35),
VALUE(G36))</f>
        <v>1.55</v>
      </c>
    </row>
    <row r="28">
      <c r="A28" s="5"/>
      <c r="B28" s="37" t="s">
        <v>45</v>
      </c>
      <c r="C28" s="37" t="str">
        <f>'8t'!D8</f>
        <v/>
      </c>
      <c r="D28" s="37">
        <f>'8s'!D8</f>
        <v>20</v>
      </c>
      <c r="E28" s="38">
        <f t="shared" si="7"/>
        <v>20</v>
      </c>
      <c r="F28" s="38" t="str">
        <f>IF(E28&gt;=40,"A+",
IF(E28&gt;=35,"A",
IF(E28&gt;=30,"A-",
IF(E28&gt;=25,"B",
IF(E28&gt;=20,"C",
IF(E28&gt;=16,"D","F"))))))
</f>
        <v>C</v>
      </c>
      <c r="G28" s="38">
        <f>IF(E28&gt;=40,5,
IF(E28&gt;=35,4,
IF(E28&gt;=30,3.5,
IF(E28&gt;=25,3,
IF(E28&gt;=20,2,
IF(E28&gt;=16,1,0))))))</f>
        <v>2</v>
      </c>
      <c r="H28" s="41"/>
    </row>
    <row r="29">
      <c r="A29" s="5"/>
      <c r="B29" s="37" t="s">
        <v>57</v>
      </c>
      <c r="C29" s="37">
        <f>'8t'!E8</f>
        <v>11</v>
      </c>
      <c r="D29" s="37">
        <f>'8s'!E8</f>
        <v>24</v>
      </c>
      <c r="E29" s="38">
        <f t="shared" si="7"/>
        <v>35</v>
      </c>
      <c r="F29" s="38" t="str">
        <f>IF(E29&gt;=80,"A+",
IF(E29&gt;=70,"A",
IF(E29&gt;=60,"A-",
IF(E29&gt;=50,"B",
IF(E29&gt;=40,"C",
IF(E29&gt;=33,"D","F"))))))
</f>
        <v>D</v>
      </c>
      <c r="G29" s="38">
        <f>IF(E29&gt;=80,5,
IF(E29&gt;=70,4,
IF(E29&gt;=60,3.5,
IF(E29&gt;=50,3,
IF(E29&gt;=40,2,
IF(E29&gt;=33,1,0))))))</f>
        <v>1</v>
      </c>
      <c r="H29" s="41"/>
    </row>
    <row r="30">
      <c r="A30" s="5"/>
      <c r="B30" s="37" t="s">
        <v>58</v>
      </c>
      <c r="C30" s="37" t="str">
        <f>'8t'!F8</f>
        <v/>
      </c>
      <c r="D30" s="37">
        <f>'8s'!F8</f>
        <v>17</v>
      </c>
      <c r="E30" s="38">
        <f t="shared" si="7"/>
        <v>17</v>
      </c>
      <c r="F30" s="38" t="str">
        <f>IF(E30&gt;=40,"A+",
IF(E30&gt;=35,"A",
IF(E30&gt;=30,"A-",
IF(E30&gt;=25,"B",
IF(E30&gt;=20,"C",
IF(E30&gt;=16,"D","F"))))))
</f>
        <v>D</v>
      </c>
      <c r="G30" s="38">
        <f>IF(E30&gt;=40,5,
IF(E30&gt;=35,4,
IF(E30&gt;=30,3.5,
IF(E30&gt;=25,3,
IF(E30&gt;=20,2,
IF(E30&gt;=16,1,0))))))</f>
        <v>1</v>
      </c>
      <c r="H30" s="41"/>
    </row>
    <row r="31">
      <c r="A31" s="5"/>
      <c r="B31" s="38" t="s">
        <v>40</v>
      </c>
      <c r="C31" s="37">
        <f>'8t'!G8</f>
        <v>10</v>
      </c>
      <c r="D31" s="37">
        <f>'8s'!G8</f>
        <v>24</v>
      </c>
      <c r="E31" s="38">
        <f t="shared" si="7"/>
        <v>34</v>
      </c>
      <c r="F31" s="38" t="str">
        <f t="shared" ref="F31:F35" si="8">IF(E31&gt;=80,"A+",
IF(E31&gt;=70,"A",
IF(E31&gt;=60,"A-",
IF(E31&gt;=50,"B",
IF(E31&gt;=40,"C",
IF(E31&gt;=33,"D","F"))))))
</f>
        <v>D</v>
      </c>
      <c r="G31" s="38">
        <f t="shared" ref="G31:G35" si="9">IF(E31&gt;=80,5,
IF(E31&gt;=70,4,
IF(E31&gt;=60,3.5,
IF(E31&gt;=50,3,
IF(E31&gt;=40,2,
IF(E31&gt;=33,1,0))))))</f>
        <v>1</v>
      </c>
      <c r="H31" s="41"/>
    </row>
    <row r="32">
      <c r="A32" s="5"/>
      <c r="B32" s="38" t="s">
        <v>41</v>
      </c>
      <c r="C32" s="38">
        <f>'8t'!H8</f>
        <v>15</v>
      </c>
      <c r="D32" s="38">
        <f>'8s'!H8</f>
        <v>24</v>
      </c>
      <c r="E32" s="38">
        <f t="shared" si="7"/>
        <v>39</v>
      </c>
      <c r="F32" s="38" t="str">
        <f t="shared" si="8"/>
        <v>D</v>
      </c>
      <c r="G32" s="38">
        <f t="shared" si="9"/>
        <v>1</v>
      </c>
      <c r="H32" s="41"/>
    </row>
    <row r="33">
      <c r="A33" s="5"/>
      <c r="B33" s="38" t="s">
        <v>10</v>
      </c>
      <c r="C33" s="38">
        <f>'8t'!I8</f>
        <v>14</v>
      </c>
      <c r="D33" s="38">
        <f>'8s'!I8</f>
        <v>24</v>
      </c>
      <c r="E33" s="38">
        <f t="shared" si="7"/>
        <v>38</v>
      </c>
      <c r="F33" s="38" t="str">
        <f t="shared" si="8"/>
        <v>D</v>
      </c>
      <c r="G33" s="38">
        <f t="shared" si="9"/>
        <v>1</v>
      </c>
      <c r="H33" s="41"/>
    </row>
    <row r="34">
      <c r="A34" s="5"/>
      <c r="B34" s="37" t="s">
        <v>48</v>
      </c>
      <c r="C34" s="38">
        <f>'8t'!J8</f>
        <v>20</v>
      </c>
      <c r="D34" s="38">
        <f>'8s'!J8</f>
        <v>24</v>
      </c>
      <c r="E34" s="38">
        <f t="shared" si="7"/>
        <v>44</v>
      </c>
      <c r="F34" s="38" t="str">
        <f t="shared" si="8"/>
        <v>C</v>
      </c>
      <c r="G34" s="38">
        <f t="shared" si="9"/>
        <v>2</v>
      </c>
      <c r="H34" s="41"/>
    </row>
    <row r="35">
      <c r="A35" s="5"/>
      <c r="B35" s="38" t="s">
        <v>11</v>
      </c>
      <c r="C35" s="38">
        <f>'8t'!K8</f>
        <v>18</v>
      </c>
      <c r="D35" s="38">
        <f>'8s'!K8</f>
        <v>24</v>
      </c>
      <c r="E35" s="38">
        <f t="shared" si="7"/>
        <v>42</v>
      </c>
      <c r="F35" s="38" t="str">
        <f t="shared" si="8"/>
        <v>C</v>
      </c>
      <c r="G35" s="38">
        <f t="shared" si="9"/>
        <v>2</v>
      </c>
      <c r="H35" s="41"/>
    </row>
    <row r="36">
      <c r="A36" s="8"/>
      <c r="B36" s="37" t="s">
        <v>49</v>
      </c>
      <c r="C36" s="38">
        <f>'8t'!L8</f>
        <v>16</v>
      </c>
      <c r="D36" s="38">
        <f>'8s'!L8</f>
        <v>16</v>
      </c>
      <c r="E36" s="38">
        <f t="shared" si="7"/>
        <v>32</v>
      </c>
      <c r="F36" s="38" t="str">
        <f>IF(E36&gt;=40,"A+",
IF(E36&gt;=35,"A",
IF(E36&gt;=30,"A-",
IF(E36&gt;=25,"B",
IF(E36&gt;=20,"C",
IF(E36&gt;=16,"D","F"))))))
</f>
        <v>A-</v>
      </c>
      <c r="G36" s="38">
        <f>IF(E36&gt;=40,5,
IF(E36&gt;=35,4,
IF(E36&gt;=30,3.5,
IF(E36&gt;=25,3,
IF(E36&gt;=20,2,
IF(E36&gt;=16,1,0))))))</f>
        <v>3.5</v>
      </c>
      <c r="H36" s="12"/>
    </row>
    <row r="37">
      <c r="A37" s="30" t="s">
        <v>3</v>
      </c>
      <c r="B37" s="31" t="s">
        <v>31</v>
      </c>
      <c r="C37" s="42" t="str">
        <f>'8s'!B9</f>
        <v>MIM AKTER</v>
      </c>
      <c r="D37" s="23"/>
      <c r="E37" s="23"/>
      <c r="F37" s="23"/>
      <c r="G37" s="23"/>
      <c r="H37" s="24"/>
    </row>
    <row r="38">
      <c r="A38" s="47">
        <v>4.0</v>
      </c>
      <c r="B38" s="35" t="s">
        <v>32</v>
      </c>
      <c r="C38" s="36" t="str">
        <f>'8'!C26</f>
        <v>3rd Tutorial
Exam (30)</v>
      </c>
      <c r="D38" s="36" t="str">
        <f>'8'!D26</f>
        <v>3rd Semester
Exam (70)</v>
      </c>
      <c r="E38" s="35" t="s">
        <v>35</v>
      </c>
      <c r="F38" s="36" t="s">
        <v>36</v>
      </c>
      <c r="G38" s="36" t="s">
        <v>37</v>
      </c>
      <c r="H38" s="36" t="s">
        <v>38</v>
      </c>
    </row>
    <row r="39">
      <c r="A39" s="5"/>
      <c r="B39" s="37" t="s">
        <v>44</v>
      </c>
      <c r="C39" s="37">
        <f>'8t'!C9</f>
        <v>12</v>
      </c>
      <c r="D39" s="37">
        <f>'8s'!C9</f>
        <v>24</v>
      </c>
      <c r="E39" s="38">
        <f t="shared" ref="E39:E48" si="10">SUM(C39:D39)</f>
        <v>36</v>
      </c>
      <c r="F39" s="38" t="str">
        <f>IF(E39&gt;=80,"A+",
IF(E39&gt;=70,"A",
IF(E39&gt;=60,"A-",
IF(E39&gt;=50,"B",
IF(E39&gt;=40,"C",
IF(E39&gt;=33,"D","F"))))))
</f>
        <v>D</v>
      </c>
      <c r="G39" s="38">
        <f>IF(E39&gt;=80,5,
IF(E39&gt;=70,4,
IF(E39&gt;=60,3.5,
IF(E39&gt;=50,3,
IF(E39&gt;=40,2,
IF(E39&gt;=33,1,0))))))</f>
        <v>1</v>
      </c>
      <c r="H39" s="40">
        <f>AVERAGE(
VALUE(G39),
VALUE(G40),
VALUE(G41),
VALUE(G42),
VALUE(G43),
VALUE(G44),
VALUE(G45),
VALUE(G46),
VALUE(G47),
VALUE(G48))</f>
        <v>2.25</v>
      </c>
    </row>
    <row r="40">
      <c r="A40" s="5"/>
      <c r="B40" s="37" t="s">
        <v>45</v>
      </c>
      <c r="C40" s="37" t="str">
        <f>'8t'!D9</f>
        <v/>
      </c>
      <c r="D40" s="37">
        <f>'8s'!D9</f>
        <v>31</v>
      </c>
      <c r="E40" s="38">
        <f t="shared" si="10"/>
        <v>31</v>
      </c>
      <c r="F40" s="38" t="str">
        <f t="shared" ref="F40:F42" si="11">IF(E40&gt;=40,"A+",
IF(E40&gt;=35,"A",
IF(E40&gt;=30,"A-",
IF(E40&gt;=25,"B",
IF(E40&gt;=20,"C",
IF(E40&gt;=16,"D","F"))))))
</f>
        <v>A-</v>
      </c>
      <c r="G40" s="38">
        <f t="shared" ref="G40:G42" si="12">IF(E40&gt;=40,5,
IF(E40&gt;=35,4,
IF(E40&gt;=30,3.5,
IF(E40&gt;=25,3,
IF(E40&gt;=20,2,
IF(E40&gt;=16,1,0))))))</f>
        <v>3.5</v>
      </c>
      <c r="H40" s="41"/>
    </row>
    <row r="41">
      <c r="A41" s="5"/>
      <c r="B41" s="37" t="s">
        <v>57</v>
      </c>
      <c r="C41" s="37">
        <f>'8t'!E9</f>
        <v>10</v>
      </c>
      <c r="D41" s="37">
        <f>'8s'!E9</f>
        <v>24</v>
      </c>
      <c r="E41" s="38">
        <f t="shared" si="10"/>
        <v>34</v>
      </c>
      <c r="F41" s="38" t="str">
        <f t="shared" si="11"/>
        <v>A-</v>
      </c>
      <c r="G41" s="38">
        <f t="shared" si="12"/>
        <v>3.5</v>
      </c>
      <c r="H41" s="41"/>
    </row>
    <row r="42">
      <c r="A42" s="5"/>
      <c r="B42" s="37" t="s">
        <v>58</v>
      </c>
      <c r="C42" s="37" t="str">
        <f>'8t'!F9</f>
        <v/>
      </c>
      <c r="D42" s="37">
        <f>'8s'!F9</f>
        <v>17</v>
      </c>
      <c r="E42" s="38">
        <f t="shared" si="10"/>
        <v>17</v>
      </c>
      <c r="F42" s="38" t="str">
        <f t="shared" si="11"/>
        <v>D</v>
      </c>
      <c r="G42" s="38">
        <f t="shared" si="12"/>
        <v>1</v>
      </c>
      <c r="H42" s="41"/>
    </row>
    <row r="43">
      <c r="A43" s="5"/>
      <c r="B43" s="38" t="s">
        <v>40</v>
      </c>
      <c r="C43" s="37">
        <f>'8t'!G9</f>
        <v>10</v>
      </c>
      <c r="D43" s="37">
        <f>'8s'!G9</f>
        <v>24</v>
      </c>
      <c r="E43" s="38">
        <f t="shared" si="10"/>
        <v>34</v>
      </c>
      <c r="F43" s="38" t="str">
        <f t="shared" ref="F43:F47" si="13">IF(E43&gt;=80,"A+",
IF(E43&gt;=70,"A",
IF(E43&gt;=60,"A-",
IF(E43&gt;=50,"B",
IF(E43&gt;=40,"C",
IF(E43&gt;=33,"D","F"))))))
</f>
        <v>D</v>
      </c>
      <c r="G43" s="38">
        <f t="shared" ref="G43:G47" si="14">IF(E43&gt;=80,5,
IF(E43&gt;=70,4,
IF(E43&gt;=60,3.5,
IF(E43&gt;=50,3,
IF(E43&gt;=40,2,
IF(E43&gt;=33,1,0))))))</f>
        <v>1</v>
      </c>
      <c r="H43" s="41"/>
    </row>
    <row r="44">
      <c r="A44" s="5"/>
      <c r="B44" s="38" t="s">
        <v>41</v>
      </c>
      <c r="C44" s="38">
        <f>'8t'!H9</f>
        <v>13</v>
      </c>
      <c r="D44" s="38">
        <f>'8s'!H9</f>
        <v>28</v>
      </c>
      <c r="E44" s="38">
        <f t="shared" si="10"/>
        <v>41</v>
      </c>
      <c r="F44" s="38" t="str">
        <f t="shared" si="13"/>
        <v>C</v>
      </c>
      <c r="G44" s="38">
        <f t="shared" si="14"/>
        <v>2</v>
      </c>
      <c r="H44" s="41"/>
    </row>
    <row r="45">
      <c r="A45" s="5"/>
      <c r="B45" s="38" t="s">
        <v>10</v>
      </c>
      <c r="C45" s="38">
        <f>'8t'!I9</f>
        <v>13</v>
      </c>
      <c r="D45" s="38">
        <f>'8s'!I9</f>
        <v>40</v>
      </c>
      <c r="E45" s="38">
        <f t="shared" si="10"/>
        <v>53</v>
      </c>
      <c r="F45" s="38" t="str">
        <f t="shared" si="13"/>
        <v>B</v>
      </c>
      <c r="G45" s="38">
        <f t="shared" si="14"/>
        <v>3</v>
      </c>
      <c r="H45" s="41"/>
    </row>
    <row r="46">
      <c r="A46" s="5"/>
      <c r="B46" s="37" t="s">
        <v>48</v>
      </c>
      <c r="C46" s="38">
        <f>'8t'!J9</f>
        <v>24</v>
      </c>
      <c r="D46" s="38">
        <f>'8s'!J9</f>
        <v>40</v>
      </c>
      <c r="E46" s="38">
        <f t="shared" si="10"/>
        <v>64</v>
      </c>
      <c r="F46" s="38" t="str">
        <f t="shared" si="13"/>
        <v>A-</v>
      </c>
      <c r="G46" s="38">
        <f t="shared" si="14"/>
        <v>3.5</v>
      </c>
      <c r="H46" s="41"/>
    </row>
    <row r="47">
      <c r="A47" s="5"/>
      <c r="B47" s="38" t="s">
        <v>11</v>
      </c>
      <c r="C47" s="38">
        <f>'8t'!K9</f>
        <v>25</v>
      </c>
      <c r="D47" s="38">
        <f>'8s'!K9</f>
        <v>24</v>
      </c>
      <c r="E47" s="38">
        <f t="shared" si="10"/>
        <v>49</v>
      </c>
      <c r="F47" s="38" t="str">
        <f t="shared" si="13"/>
        <v>C</v>
      </c>
      <c r="G47" s="38">
        <f t="shared" si="14"/>
        <v>2</v>
      </c>
      <c r="H47" s="41"/>
    </row>
    <row r="48">
      <c r="A48" s="8"/>
      <c r="B48" s="37" t="s">
        <v>49</v>
      </c>
      <c r="C48" s="38">
        <f>'8t'!L9</f>
        <v>10</v>
      </c>
      <c r="D48" s="38">
        <f>'8s'!L9</f>
        <v>10</v>
      </c>
      <c r="E48" s="38">
        <f t="shared" si="10"/>
        <v>20</v>
      </c>
      <c r="F48" s="38" t="str">
        <f>IF(E48&gt;=40,"A+",
IF(E48&gt;=35,"A",
IF(E48&gt;=30,"A-",
IF(E48&gt;=25,"B",
IF(E48&gt;=20,"C",
IF(E48&gt;=16,"D","F"))))))
</f>
        <v>C</v>
      </c>
      <c r="G48" s="38">
        <f>IF(E48&gt;=40,5,
IF(E48&gt;=35,4,
IF(E48&gt;=30,3.5,
IF(E48&gt;=25,3,
IF(E48&gt;=20,2,
IF(E48&gt;=16,1,0))))))</f>
        <v>2</v>
      </c>
      <c r="H48" s="12"/>
    </row>
    <row r="49">
      <c r="A49" s="30" t="s">
        <v>3</v>
      </c>
      <c r="B49" s="31" t="s">
        <v>31</v>
      </c>
      <c r="C49" s="42" t="str">
        <f>'8s'!B10</f>
        <v>ALIF HOSSAIN</v>
      </c>
      <c r="D49" s="23"/>
      <c r="E49" s="23"/>
      <c r="F49" s="23"/>
      <c r="G49" s="23"/>
      <c r="H49" s="24"/>
    </row>
    <row r="50">
      <c r="A50" s="47">
        <v>5.0</v>
      </c>
      <c r="B50" s="35" t="s">
        <v>32</v>
      </c>
      <c r="C50" s="36" t="str">
        <f>'8'!C38</f>
        <v>3rd Tutorial
Exam (30)</v>
      </c>
      <c r="D50" s="36" t="str">
        <f>'8'!D38</f>
        <v>3rd Semester
Exam (70)</v>
      </c>
      <c r="E50" s="35" t="s">
        <v>35</v>
      </c>
      <c r="F50" s="36" t="s">
        <v>36</v>
      </c>
      <c r="G50" s="36" t="s">
        <v>37</v>
      </c>
      <c r="H50" s="36" t="s">
        <v>38</v>
      </c>
    </row>
    <row r="51">
      <c r="A51" s="5"/>
      <c r="B51" s="37" t="s">
        <v>44</v>
      </c>
      <c r="C51" s="37">
        <f>'8t'!C10</f>
        <v>10</v>
      </c>
      <c r="D51" s="37">
        <f>'8s'!C10</f>
        <v>24</v>
      </c>
      <c r="E51" s="38">
        <f t="shared" ref="E51:E60" si="15">SUM(C51:D51)</f>
        <v>34</v>
      </c>
      <c r="F51" s="38" t="str">
        <f>IF(E51&gt;=80,"A+",
IF(E51&gt;=70,"A",
IF(E51&gt;=60,"A-",
IF(E51&gt;=50,"B",
IF(E51&gt;=40,"C",
IF(E51&gt;=33,"D","F"))))))
</f>
        <v>D</v>
      </c>
      <c r="G51" s="38">
        <f>IF(E51&gt;=80,5,
IF(E51&gt;=70,4,
IF(E51&gt;=60,3.5,
IF(E51&gt;=50,3,
IF(E51&gt;=40,2,
IF(E51&gt;=33,1,0))))))</f>
        <v>1</v>
      </c>
      <c r="H51" s="40">
        <f>AVERAGE(
VALUE(G51),
VALUE(G52),
VALUE(G53),
VALUE(G54),
VALUE(G55),
VALUE(G56),
VALUE(G57),
VALUE(G58),
VALUE(G59),
VALUE(G60))</f>
        <v>1.1</v>
      </c>
    </row>
    <row r="52">
      <c r="A52" s="5"/>
      <c r="B52" s="37" t="s">
        <v>45</v>
      </c>
      <c r="C52" s="37" t="str">
        <f>'8t'!D10</f>
        <v/>
      </c>
      <c r="D52" s="37">
        <f>'8s'!D10</f>
        <v>17</v>
      </c>
      <c r="E52" s="38">
        <f t="shared" si="15"/>
        <v>17</v>
      </c>
      <c r="F52" s="38" t="str">
        <f>IF(E52&gt;=40,"A+",
IF(E52&gt;=35,"A",
IF(E52&gt;=30,"A-",
IF(E52&gt;=25,"B",
IF(E52&gt;=20,"C",
IF(E52&gt;=16,"D","F"))))))
</f>
        <v>D</v>
      </c>
      <c r="G52" s="38">
        <f>IF(E52&gt;=40,5,
IF(E52&gt;=35,4,
IF(E52&gt;=30,3.5,
IF(E52&gt;=25,3,
IF(E52&gt;=20,2,
IF(E52&gt;=16,1,0))))))</f>
        <v>1</v>
      </c>
      <c r="H52" s="41"/>
    </row>
    <row r="53">
      <c r="A53" s="5"/>
      <c r="B53" s="37" t="s">
        <v>57</v>
      </c>
      <c r="C53" s="37">
        <f>'8t'!E10</f>
        <v>10</v>
      </c>
      <c r="D53" s="37">
        <f>'8s'!E10</f>
        <v>24</v>
      </c>
      <c r="E53" s="38">
        <f t="shared" si="15"/>
        <v>34</v>
      </c>
      <c r="F53" s="38" t="str">
        <f>IF(E53&gt;=80,"A+",
IF(E53&gt;=70,"A",
IF(E53&gt;=60,"A-",
IF(E53&gt;=50,"B",
IF(E53&gt;=40,"C",
IF(E53&gt;=33,"D","F"))))))
</f>
        <v>D</v>
      </c>
      <c r="G53" s="38">
        <f>IF(E53&gt;=80,5,
IF(E53&gt;=70,4,
IF(E53&gt;=60,3.5,
IF(E53&gt;=50,3,
IF(E53&gt;=40,2,
IF(E53&gt;=33,1,0))))))</f>
        <v>1</v>
      </c>
      <c r="H53" s="41"/>
    </row>
    <row r="54">
      <c r="A54" s="5"/>
      <c r="B54" s="37" t="s">
        <v>58</v>
      </c>
      <c r="C54" s="37" t="str">
        <f>'8t'!F10</f>
        <v/>
      </c>
      <c r="D54" s="37">
        <f>'8s'!F10</f>
        <v>17</v>
      </c>
      <c r="E54" s="38">
        <f t="shared" si="15"/>
        <v>17</v>
      </c>
      <c r="F54" s="38" t="str">
        <f>IF(E54&gt;=40,"A+",
IF(E54&gt;=35,"A",
IF(E54&gt;=30,"A-",
IF(E54&gt;=25,"B",
IF(E54&gt;=20,"C",
IF(E54&gt;=16,"D","F"))))))
</f>
        <v>D</v>
      </c>
      <c r="G54" s="38">
        <f>IF(E54&gt;=40,5,
IF(E54&gt;=35,4,
IF(E54&gt;=30,3.5,
IF(E54&gt;=25,3,
IF(E54&gt;=20,2,
IF(E54&gt;=16,1,0))))))</f>
        <v>1</v>
      </c>
      <c r="H54" s="41"/>
    </row>
    <row r="55">
      <c r="A55" s="5"/>
      <c r="B55" s="38" t="s">
        <v>40</v>
      </c>
      <c r="C55" s="37">
        <f>'8t'!G10</f>
        <v>10</v>
      </c>
      <c r="D55" s="37">
        <f>'8s'!G10</f>
        <v>24</v>
      </c>
      <c r="E55" s="38">
        <f t="shared" si="15"/>
        <v>34</v>
      </c>
      <c r="F55" s="38" t="str">
        <f t="shared" ref="F55:F59" si="16">IF(E55&gt;=80,"A+",
IF(E55&gt;=70,"A",
IF(E55&gt;=60,"A-",
IF(E55&gt;=50,"B",
IF(E55&gt;=40,"C",
IF(E55&gt;=33,"D","F"))))))
</f>
        <v>D</v>
      </c>
      <c r="G55" s="38">
        <f t="shared" ref="G55:G59" si="17">IF(E55&gt;=80,5,
IF(E55&gt;=70,4,
IF(E55&gt;=60,3.5,
IF(E55&gt;=50,3,
IF(E55&gt;=40,2,
IF(E55&gt;=33,1,0))))))</f>
        <v>1</v>
      </c>
      <c r="H55" s="41"/>
    </row>
    <row r="56">
      <c r="A56" s="5"/>
      <c r="B56" s="38" t="s">
        <v>41</v>
      </c>
      <c r="C56" s="38" t="str">
        <f>'8t'!H10</f>
        <v/>
      </c>
      <c r="D56" s="38">
        <f>'8s'!H10</f>
        <v>24</v>
      </c>
      <c r="E56" s="38">
        <f t="shared" si="15"/>
        <v>24</v>
      </c>
      <c r="F56" s="38" t="str">
        <f t="shared" si="16"/>
        <v>F</v>
      </c>
      <c r="G56" s="38">
        <f t="shared" si="17"/>
        <v>0</v>
      </c>
      <c r="H56" s="41"/>
    </row>
    <row r="57">
      <c r="A57" s="5"/>
      <c r="B57" s="38" t="s">
        <v>10</v>
      </c>
      <c r="C57" s="38">
        <f>'8t'!I10</f>
        <v>10</v>
      </c>
      <c r="D57" s="38">
        <f>'8s'!I10</f>
        <v>24</v>
      </c>
      <c r="E57" s="38">
        <f t="shared" si="15"/>
        <v>34</v>
      </c>
      <c r="F57" s="38" t="str">
        <f t="shared" si="16"/>
        <v>D</v>
      </c>
      <c r="G57" s="38">
        <f t="shared" si="17"/>
        <v>1</v>
      </c>
      <c r="H57" s="41"/>
    </row>
    <row r="58">
      <c r="A58" s="5"/>
      <c r="B58" s="37" t="s">
        <v>48</v>
      </c>
      <c r="C58" s="38">
        <f>'8t'!J10</f>
        <v>10</v>
      </c>
      <c r="D58" s="38">
        <f>'8s'!J10</f>
        <v>24</v>
      </c>
      <c r="E58" s="38">
        <f t="shared" si="15"/>
        <v>34</v>
      </c>
      <c r="F58" s="38" t="str">
        <f t="shared" si="16"/>
        <v>D</v>
      </c>
      <c r="G58" s="38">
        <f t="shared" si="17"/>
        <v>1</v>
      </c>
      <c r="H58" s="41"/>
    </row>
    <row r="59">
      <c r="A59" s="5"/>
      <c r="B59" s="38" t="s">
        <v>11</v>
      </c>
      <c r="C59" s="38">
        <f>'8t'!K10</f>
        <v>10</v>
      </c>
      <c r="D59" s="38">
        <f>'8s'!K10</f>
        <v>24</v>
      </c>
      <c r="E59" s="38">
        <f t="shared" si="15"/>
        <v>34</v>
      </c>
      <c r="F59" s="38" t="str">
        <f t="shared" si="16"/>
        <v>D</v>
      </c>
      <c r="G59" s="38">
        <f t="shared" si="17"/>
        <v>1</v>
      </c>
      <c r="H59" s="41"/>
    </row>
    <row r="60">
      <c r="A60" s="8"/>
      <c r="B60" s="37" t="s">
        <v>49</v>
      </c>
      <c r="C60" s="38">
        <f>'8t'!L10</f>
        <v>14</v>
      </c>
      <c r="D60" s="38">
        <f>'8s'!L10</f>
        <v>14</v>
      </c>
      <c r="E60" s="38">
        <f t="shared" si="15"/>
        <v>28</v>
      </c>
      <c r="F60" s="38" t="str">
        <f>IF(E60&gt;=40,"A+",
IF(E60&gt;=35,"A",
IF(E60&gt;=30,"A-",
IF(E60&gt;=25,"B",
IF(E60&gt;=20,"C",
IF(E60&gt;=16,"D","F"))))))
</f>
        <v>B</v>
      </c>
      <c r="G60" s="38">
        <f>IF(E60&gt;=40,5,
IF(E60&gt;=35,4,
IF(E60&gt;=30,3.5,
IF(E60&gt;=25,3,
IF(E60&gt;=20,2,
IF(E60&gt;=16,1,0))))))</f>
        <v>3</v>
      </c>
      <c r="H60" s="12"/>
    </row>
    <row r="61">
      <c r="A61" s="30" t="s">
        <v>3</v>
      </c>
      <c r="B61" s="31" t="s">
        <v>31</v>
      </c>
      <c r="C61" s="42" t="str">
        <f>'8s'!B11</f>
        <v>SIAM AHAMED</v>
      </c>
      <c r="D61" s="23"/>
      <c r="E61" s="23"/>
      <c r="F61" s="23"/>
      <c r="G61" s="23"/>
      <c r="H61" s="24"/>
    </row>
    <row r="62">
      <c r="A62" s="47">
        <v>6.0</v>
      </c>
      <c r="B62" s="35" t="s">
        <v>32</v>
      </c>
      <c r="C62" s="36" t="str">
        <f>'8'!C50</f>
        <v>3rd Tutorial
Exam (30)</v>
      </c>
      <c r="D62" s="36" t="str">
        <f>'8'!D50</f>
        <v>3rd Semester
Exam (70)</v>
      </c>
      <c r="E62" s="35" t="s">
        <v>35</v>
      </c>
      <c r="F62" s="36" t="s">
        <v>36</v>
      </c>
      <c r="G62" s="36" t="s">
        <v>37</v>
      </c>
      <c r="H62" s="36" t="s">
        <v>38</v>
      </c>
    </row>
    <row r="63">
      <c r="A63" s="5"/>
      <c r="B63" s="37" t="s">
        <v>44</v>
      </c>
      <c r="C63" s="37">
        <f>'8t'!C11</f>
        <v>10</v>
      </c>
      <c r="D63" s="37">
        <f>'8s'!C11</f>
        <v>24</v>
      </c>
      <c r="E63" s="38">
        <f t="shared" ref="E63:E72" si="18">SUM(C63:D63)</f>
        <v>34</v>
      </c>
      <c r="F63" s="38" t="str">
        <f>IF(E63&gt;=80,"A+",
IF(E63&gt;=70,"A",
IF(E63&gt;=60,"A-",
IF(E63&gt;=50,"B",
IF(E63&gt;=40,"C",
IF(E63&gt;=33,"D","F"))))))
</f>
        <v>D</v>
      </c>
      <c r="G63" s="38">
        <f>IF(E63&gt;=80,5,
IF(E63&gt;=70,4,
IF(E63&gt;=60,3.5,
IF(E63&gt;=50,3,
IF(E63&gt;=40,2,
IF(E63&gt;=33,1,0))))))</f>
        <v>1</v>
      </c>
      <c r="H63" s="40">
        <f>AVERAGE(
VALUE(G63),
VALUE(G64),
VALUE(G65),
VALUE(G66),
VALUE(G67),
VALUE(G68),
VALUE(G69),
VALUE(G70),
VALUE(G71),
VALUE(G72))</f>
        <v>1</v>
      </c>
    </row>
    <row r="64">
      <c r="A64" s="5"/>
      <c r="B64" s="37" t="s">
        <v>45</v>
      </c>
      <c r="C64" s="37" t="str">
        <f>'8t'!D11</f>
        <v/>
      </c>
      <c r="D64" s="37">
        <f>'8s'!D11</f>
        <v>17</v>
      </c>
      <c r="E64" s="38">
        <f t="shared" si="18"/>
        <v>17</v>
      </c>
      <c r="F64" s="38" t="str">
        <f>IF(E64&gt;=40,"A+",
IF(E64&gt;=35,"A",
IF(E64&gt;=30,"A-",
IF(E64&gt;=25,"B",
IF(E64&gt;=20,"C",
IF(E64&gt;=16,"D","F"))))))
</f>
        <v>D</v>
      </c>
      <c r="G64" s="38">
        <f>IF(E64&gt;=40,5,
IF(E64&gt;=35,4,
IF(E64&gt;=30,3.5,
IF(E64&gt;=25,3,
IF(E64&gt;=20,2,
IF(E64&gt;=16,1,0))))))</f>
        <v>1</v>
      </c>
      <c r="H64" s="41"/>
    </row>
    <row r="65">
      <c r="A65" s="5"/>
      <c r="B65" s="37" t="s">
        <v>57</v>
      </c>
      <c r="C65" s="37">
        <f>'8t'!E11</f>
        <v>10</v>
      </c>
      <c r="D65" s="37">
        <f>'8s'!E11</f>
        <v>24</v>
      </c>
      <c r="E65" s="38">
        <f t="shared" si="18"/>
        <v>34</v>
      </c>
      <c r="F65" s="38" t="str">
        <f>IF(E65&gt;=80,"A+",
IF(E65&gt;=70,"A",
IF(E65&gt;=60,"A-",
IF(E65&gt;=50,"B",
IF(E65&gt;=40,"C",
IF(E65&gt;=33,"D","F"))))))
</f>
        <v>D</v>
      </c>
      <c r="G65" s="38">
        <f>IF(E65&gt;=80,5,
IF(E65&gt;=70,4,
IF(E65&gt;=60,3.5,
IF(E65&gt;=50,3,
IF(E65&gt;=40,2,
IF(E65&gt;=33,1,0))))))</f>
        <v>1</v>
      </c>
      <c r="H65" s="41"/>
    </row>
    <row r="66">
      <c r="A66" s="5"/>
      <c r="B66" s="37" t="s">
        <v>58</v>
      </c>
      <c r="C66" s="37" t="str">
        <f>'8t'!F11</f>
        <v/>
      </c>
      <c r="D66" s="37">
        <f>'8s'!F11</f>
        <v>17</v>
      </c>
      <c r="E66" s="38">
        <f t="shared" si="18"/>
        <v>17</v>
      </c>
      <c r="F66" s="38" t="str">
        <f>IF(E66&gt;=40,"A+",
IF(E66&gt;=35,"A",
IF(E66&gt;=30,"A-",
IF(E66&gt;=25,"B",
IF(E66&gt;=20,"C",
IF(E66&gt;=16,"D","F"))))))
</f>
        <v>D</v>
      </c>
      <c r="G66" s="38">
        <f>IF(E66&gt;=40,5,
IF(E66&gt;=35,4,
IF(E66&gt;=30,3.5,
IF(E66&gt;=25,3,
IF(E66&gt;=20,2,
IF(E66&gt;=16,1,0))))))</f>
        <v>1</v>
      </c>
      <c r="H66" s="41"/>
    </row>
    <row r="67">
      <c r="A67" s="5"/>
      <c r="B67" s="38" t="s">
        <v>40</v>
      </c>
      <c r="C67" s="37">
        <f>'8t'!G11</f>
        <v>10</v>
      </c>
      <c r="D67" s="37">
        <f>'8s'!G11</f>
        <v>24</v>
      </c>
      <c r="E67" s="38">
        <f t="shared" si="18"/>
        <v>34</v>
      </c>
      <c r="F67" s="38" t="str">
        <f t="shared" ref="F67:F71" si="19">IF(E67&gt;=80,"A+",
IF(E67&gt;=70,"A",
IF(E67&gt;=60,"A-",
IF(E67&gt;=50,"B",
IF(E67&gt;=40,"C",
IF(E67&gt;=33,"D","F"))))))
</f>
        <v>D</v>
      </c>
      <c r="G67" s="38">
        <f t="shared" ref="G67:G71" si="20">IF(E67&gt;=80,5,
IF(E67&gt;=70,4,
IF(E67&gt;=60,3.5,
IF(E67&gt;=50,3,
IF(E67&gt;=40,2,
IF(E67&gt;=33,1,0))))))</f>
        <v>1</v>
      </c>
      <c r="H67" s="41"/>
    </row>
    <row r="68">
      <c r="A68" s="5"/>
      <c r="B68" s="38" t="s">
        <v>41</v>
      </c>
      <c r="C68" s="38" t="str">
        <f>'8t'!H11</f>
        <v/>
      </c>
      <c r="D68" s="38">
        <f>'8s'!H11</f>
        <v>24</v>
      </c>
      <c r="E68" s="38">
        <f t="shared" si="18"/>
        <v>24</v>
      </c>
      <c r="F68" s="38" t="str">
        <f t="shared" si="19"/>
        <v>F</v>
      </c>
      <c r="G68" s="38">
        <f t="shared" si="20"/>
        <v>0</v>
      </c>
      <c r="H68" s="41"/>
    </row>
    <row r="69">
      <c r="A69" s="5"/>
      <c r="B69" s="38" t="s">
        <v>10</v>
      </c>
      <c r="C69" s="38">
        <f>'8t'!I11</f>
        <v>10</v>
      </c>
      <c r="D69" s="38">
        <f>'8s'!I11</f>
        <v>24</v>
      </c>
      <c r="E69" s="38">
        <f t="shared" si="18"/>
        <v>34</v>
      </c>
      <c r="F69" s="38" t="str">
        <f t="shared" si="19"/>
        <v>D</v>
      </c>
      <c r="G69" s="38">
        <f t="shared" si="20"/>
        <v>1</v>
      </c>
      <c r="H69" s="41"/>
    </row>
    <row r="70">
      <c r="A70" s="5"/>
      <c r="B70" s="37" t="s">
        <v>48</v>
      </c>
      <c r="C70" s="38">
        <f>'8t'!J11</f>
        <v>10</v>
      </c>
      <c r="D70" s="38">
        <f>'8s'!J11</f>
        <v>24</v>
      </c>
      <c r="E70" s="38">
        <f t="shared" si="18"/>
        <v>34</v>
      </c>
      <c r="F70" s="38" t="str">
        <f t="shared" si="19"/>
        <v>D</v>
      </c>
      <c r="G70" s="38">
        <f t="shared" si="20"/>
        <v>1</v>
      </c>
      <c r="H70" s="41"/>
    </row>
    <row r="71">
      <c r="A71" s="5"/>
      <c r="B71" s="38" t="s">
        <v>11</v>
      </c>
      <c r="C71" s="38">
        <f>'8t'!K11</f>
        <v>10</v>
      </c>
      <c r="D71" s="38">
        <f>'8s'!K11</f>
        <v>24</v>
      </c>
      <c r="E71" s="38">
        <f t="shared" si="18"/>
        <v>34</v>
      </c>
      <c r="F71" s="38" t="str">
        <f t="shared" si="19"/>
        <v>D</v>
      </c>
      <c r="G71" s="38">
        <f t="shared" si="20"/>
        <v>1</v>
      </c>
      <c r="H71" s="41"/>
    </row>
    <row r="72">
      <c r="A72" s="8"/>
      <c r="B72" s="37" t="s">
        <v>49</v>
      </c>
      <c r="C72" s="38">
        <f>'8t'!L11</f>
        <v>10</v>
      </c>
      <c r="D72" s="38">
        <f>'8s'!L11</f>
        <v>10</v>
      </c>
      <c r="E72" s="38">
        <f t="shared" si="18"/>
        <v>20</v>
      </c>
      <c r="F72" s="38" t="str">
        <f>IF(E72&gt;=40,"A+",
IF(E72&gt;=35,"A",
IF(E72&gt;=30,"A-",
IF(E72&gt;=25,"B",
IF(E72&gt;=20,"C",
IF(E72&gt;=16,"D","F"))))))
</f>
        <v>C</v>
      </c>
      <c r="G72" s="38">
        <f>IF(E72&gt;=40,5,
IF(E72&gt;=35,4,
IF(E72&gt;=30,3.5,
IF(E72&gt;=25,3,
IF(E72&gt;=20,2,
IF(E72&gt;=16,1,0))))))</f>
        <v>2</v>
      </c>
      <c r="H72" s="12"/>
    </row>
    <row r="73">
      <c r="A73" s="30" t="s">
        <v>3</v>
      </c>
      <c r="B73" s="31" t="s">
        <v>31</v>
      </c>
      <c r="C73" s="42" t="str">
        <f>'8s'!B12</f>
        <v>SUMIYA AKTER</v>
      </c>
      <c r="D73" s="23"/>
      <c r="E73" s="23"/>
      <c r="F73" s="23"/>
      <c r="G73" s="23"/>
      <c r="H73" s="24"/>
    </row>
    <row r="74">
      <c r="A74" s="47">
        <v>7.0</v>
      </c>
      <c r="B74" s="35" t="s">
        <v>32</v>
      </c>
      <c r="C74" s="36" t="str">
        <f>'8'!C62</f>
        <v>3rd Tutorial
Exam (30)</v>
      </c>
      <c r="D74" s="36" t="str">
        <f>'8'!D62</f>
        <v>3rd Semester
Exam (70)</v>
      </c>
      <c r="E74" s="35" t="s">
        <v>35</v>
      </c>
      <c r="F74" s="36" t="s">
        <v>36</v>
      </c>
      <c r="G74" s="36" t="s">
        <v>37</v>
      </c>
      <c r="H74" s="36" t="s">
        <v>38</v>
      </c>
    </row>
    <row r="75">
      <c r="A75" s="5"/>
      <c r="B75" s="37" t="s">
        <v>44</v>
      </c>
      <c r="C75" s="37">
        <f>'8t'!C12</f>
        <v>11</v>
      </c>
      <c r="D75" s="37">
        <f>'8s'!C12</f>
        <v>24</v>
      </c>
      <c r="E75" s="38">
        <f t="shared" ref="E75:E84" si="21">SUM(C75:D75)</f>
        <v>35</v>
      </c>
      <c r="F75" s="38" t="str">
        <f>IF(E75&gt;=80,"A+",
IF(E75&gt;=70,"A",
IF(E75&gt;=60,"A-",
IF(E75&gt;=50,"B",
IF(E75&gt;=40,"C",
IF(E75&gt;=33,"D","F"))))))
</f>
        <v>D</v>
      </c>
      <c r="G75" s="38">
        <f>IF(E75&gt;=80,5,
IF(E75&gt;=70,4,
IF(E75&gt;=60,3.5,
IF(E75&gt;=50,3,
IF(E75&gt;=40,2,
IF(E75&gt;=33,1,0))))))</f>
        <v>1</v>
      </c>
      <c r="H75" s="40">
        <f>AVERAGE(
VALUE(G75),
VALUE(G76),
VALUE(G77),
VALUE(G78),
VALUE(G79),
VALUE(G80),
VALUE(G81),
VALUE(G82),
VALUE(G83),
VALUE(G84))</f>
        <v>1.1</v>
      </c>
    </row>
    <row r="76">
      <c r="A76" s="5"/>
      <c r="B76" s="37" t="s">
        <v>45</v>
      </c>
      <c r="C76" s="37" t="str">
        <f>'8t'!D12</f>
        <v/>
      </c>
      <c r="D76" s="37">
        <f>'8s'!D12</f>
        <v>17</v>
      </c>
      <c r="E76" s="38">
        <f t="shared" si="21"/>
        <v>17</v>
      </c>
      <c r="F76" s="38" t="str">
        <f>IF(E76&gt;=40,"A+",
IF(E76&gt;=35,"A",
IF(E76&gt;=30,"A-",
IF(E76&gt;=25,"B",
IF(E76&gt;=20,"C",
IF(E76&gt;=16,"D","F"))))))
</f>
        <v>D</v>
      </c>
      <c r="G76" s="38">
        <f>IF(E76&gt;=40,5,
IF(E76&gt;=35,4,
IF(E76&gt;=30,3.5,
IF(E76&gt;=25,3,
IF(E76&gt;=20,2,
IF(E76&gt;=16,1,0))))))</f>
        <v>1</v>
      </c>
      <c r="H76" s="41"/>
    </row>
    <row r="77">
      <c r="A77" s="5"/>
      <c r="B77" s="37" t="s">
        <v>57</v>
      </c>
      <c r="C77" s="37">
        <f>'8t'!E12</f>
        <v>10</v>
      </c>
      <c r="D77" s="37">
        <f>'8s'!E12</f>
        <v>24</v>
      </c>
      <c r="E77" s="38">
        <f t="shared" si="21"/>
        <v>34</v>
      </c>
      <c r="F77" s="38" t="str">
        <f>IF(E77&gt;=80,"A+",
IF(E77&gt;=70,"A",
IF(E77&gt;=60,"A-",
IF(E77&gt;=50,"B",
IF(E77&gt;=40,"C",
IF(E77&gt;=33,"D","F"))))))
</f>
        <v>D</v>
      </c>
      <c r="G77" s="38">
        <f>IF(E77&gt;=80,5,
IF(E77&gt;=70,4,
IF(E77&gt;=60,3.5,
IF(E77&gt;=50,3,
IF(E77&gt;=40,2,
IF(E77&gt;=33,1,0))))))</f>
        <v>1</v>
      </c>
      <c r="H77" s="41"/>
    </row>
    <row r="78">
      <c r="A78" s="5"/>
      <c r="B78" s="37" t="s">
        <v>58</v>
      </c>
      <c r="C78" s="37" t="str">
        <f>'8t'!F12</f>
        <v/>
      </c>
      <c r="D78" s="37">
        <f>'8s'!F12</f>
        <v>17</v>
      </c>
      <c r="E78" s="38">
        <f t="shared" si="21"/>
        <v>17</v>
      </c>
      <c r="F78" s="38" t="str">
        <f>IF(E78&gt;=40,"A+",
IF(E78&gt;=35,"A",
IF(E78&gt;=30,"A-",
IF(E78&gt;=25,"B",
IF(E78&gt;=20,"C",
IF(E78&gt;=16,"D","F"))))))
</f>
        <v>D</v>
      </c>
      <c r="G78" s="38">
        <f>IF(E78&gt;=40,5,
IF(E78&gt;=35,4,
IF(E78&gt;=30,3.5,
IF(E78&gt;=25,3,
IF(E78&gt;=20,2,
IF(E78&gt;=16,1,0))))))</f>
        <v>1</v>
      </c>
      <c r="H78" s="41"/>
    </row>
    <row r="79">
      <c r="A79" s="5"/>
      <c r="B79" s="38" t="s">
        <v>40</v>
      </c>
      <c r="C79" s="37">
        <f>'8t'!G12</f>
        <v>10</v>
      </c>
      <c r="D79" s="37">
        <f>'8s'!G12</f>
        <v>24</v>
      </c>
      <c r="E79" s="38">
        <f t="shared" si="21"/>
        <v>34</v>
      </c>
      <c r="F79" s="38" t="str">
        <f t="shared" ref="F79:F83" si="22">IF(E79&gt;=80,"A+",
IF(E79&gt;=70,"A",
IF(E79&gt;=60,"A-",
IF(E79&gt;=50,"B",
IF(E79&gt;=40,"C",
IF(E79&gt;=33,"D","F"))))))
</f>
        <v>D</v>
      </c>
      <c r="G79" s="38">
        <f t="shared" ref="G79:G83" si="23">IF(E79&gt;=80,5,
IF(E79&gt;=70,4,
IF(E79&gt;=60,3.5,
IF(E79&gt;=50,3,
IF(E79&gt;=40,2,
IF(E79&gt;=33,1,0))))))</f>
        <v>1</v>
      </c>
      <c r="H79" s="41"/>
    </row>
    <row r="80">
      <c r="A80" s="5"/>
      <c r="B80" s="38" t="s">
        <v>41</v>
      </c>
      <c r="C80" s="38">
        <f>'8t'!H12</f>
        <v>10</v>
      </c>
      <c r="D80" s="38">
        <f>'8s'!H12</f>
        <v>24</v>
      </c>
      <c r="E80" s="38">
        <f t="shared" si="21"/>
        <v>34</v>
      </c>
      <c r="F80" s="38" t="str">
        <f t="shared" si="22"/>
        <v>D</v>
      </c>
      <c r="G80" s="38">
        <f t="shared" si="23"/>
        <v>1</v>
      </c>
      <c r="H80" s="41"/>
    </row>
    <row r="81">
      <c r="A81" s="5"/>
      <c r="B81" s="38" t="s">
        <v>10</v>
      </c>
      <c r="C81" s="38">
        <f>'8t'!I12</f>
        <v>12</v>
      </c>
      <c r="D81" s="38">
        <f>'8s'!I12</f>
        <v>26</v>
      </c>
      <c r="E81" s="38">
        <f t="shared" si="21"/>
        <v>38</v>
      </c>
      <c r="F81" s="38" t="str">
        <f t="shared" si="22"/>
        <v>D</v>
      </c>
      <c r="G81" s="38">
        <f t="shared" si="23"/>
        <v>1</v>
      </c>
      <c r="H81" s="41"/>
    </row>
    <row r="82">
      <c r="A82" s="5"/>
      <c r="B82" s="37" t="s">
        <v>48</v>
      </c>
      <c r="C82" s="38">
        <f>'8t'!J12</f>
        <v>10</v>
      </c>
      <c r="D82" s="38">
        <f>'8s'!J12</f>
        <v>24</v>
      </c>
      <c r="E82" s="38">
        <f t="shared" si="21"/>
        <v>34</v>
      </c>
      <c r="F82" s="38" t="str">
        <f t="shared" si="22"/>
        <v>D</v>
      </c>
      <c r="G82" s="38">
        <f t="shared" si="23"/>
        <v>1</v>
      </c>
      <c r="H82" s="41"/>
    </row>
    <row r="83">
      <c r="A83" s="5"/>
      <c r="B83" s="38" t="s">
        <v>11</v>
      </c>
      <c r="C83" s="38">
        <f>'8t'!K12</f>
        <v>10</v>
      </c>
      <c r="D83" s="38">
        <f>'8s'!K12</f>
        <v>24</v>
      </c>
      <c r="E83" s="38">
        <f t="shared" si="21"/>
        <v>34</v>
      </c>
      <c r="F83" s="38" t="str">
        <f t="shared" si="22"/>
        <v>D</v>
      </c>
      <c r="G83" s="38">
        <f t="shared" si="23"/>
        <v>1</v>
      </c>
      <c r="H83" s="41"/>
    </row>
    <row r="84">
      <c r="A84" s="8"/>
      <c r="B84" s="37" t="s">
        <v>49</v>
      </c>
      <c r="C84" s="38">
        <f>'8t'!L12</f>
        <v>10</v>
      </c>
      <c r="D84" s="38">
        <f>'8s'!L12</f>
        <v>10</v>
      </c>
      <c r="E84" s="38">
        <f t="shared" si="21"/>
        <v>20</v>
      </c>
      <c r="F84" s="38" t="str">
        <f>IF(E84&gt;=40,"A+",
IF(E84&gt;=35,"A",
IF(E84&gt;=30,"A-",
IF(E84&gt;=25,"B",
IF(E84&gt;=20,"C",
IF(E84&gt;=16,"D","F"))))))
</f>
        <v>C</v>
      </c>
      <c r="G84" s="38">
        <f>IF(E84&gt;=40,5,
IF(E84&gt;=35,4,
IF(E84&gt;=30,3.5,
IF(E84&gt;=25,3,
IF(E84&gt;=20,2,
IF(E84&gt;=16,1,0))))))</f>
        <v>2</v>
      </c>
      <c r="H84" s="12"/>
    </row>
    <row r="85">
      <c r="A85" s="30" t="s">
        <v>3</v>
      </c>
      <c r="B85" s="31" t="s">
        <v>31</v>
      </c>
      <c r="C85" s="42" t="str">
        <f>'8s'!B13</f>
        <v>SAMIHA AKTER</v>
      </c>
      <c r="D85" s="23"/>
      <c r="E85" s="23"/>
      <c r="F85" s="23"/>
      <c r="G85" s="23"/>
      <c r="H85" s="24"/>
    </row>
    <row r="86">
      <c r="A86" s="47">
        <v>8.0</v>
      </c>
      <c r="B86" s="35" t="s">
        <v>32</v>
      </c>
      <c r="C86" s="36" t="str">
        <f>'8'!C74</f>
        <v>3rd Tutorial
Exam (30)</v>
      </c>
      <c r="D86" s="36" t="str">
        <f>'8'!D74</f>
        <v>3rd Semester
Exam (70)</v>
      </c>
      <c r="E86" s="35" t="s">
        <v>35</v>
      </c>
      <c r="F86" s="36" t="s">
        <v>36</v>
      </c>
      <c r="G86" s="36" t="s">
        <v>37</v>
      </c>
      <c r="H86" s="36" t="s">
        <v>38</v>
      </c>
    </row>
    <row r="87">
      <c r="A87" s="5"/>
      <c r="B87" s="37" t="s">
        <v>44</v>
      </c>
      <c r="C87" s="37">
        <f>'8t'!C13</f>
        <v>10</v>
      </c>
      <c r="D87" s="37">
        <f>'8s'!C13</f>
        <v>24</v>
      </c>
      <c r="E87" s="38">
        <f t="shared" ref="E87:E96" si="24">SUM(C87:D87)</f>
        <v>34</v>
      </c>
      <c r="F87" s="38" t="str">
        <f>IF(E87&gt;=80,"A+",
IF(E87&gt;=70,"A",
IF(E87&gt;=60,"A-",
IF(E87&gt;=50,"B",
IF(E87&gt;=40,"C",
IF(E87&gt;=33,"D","F"))))))
</f>
        <v>D</v>
      </c>
      <c r="G87" s="38">
        <f>IF(E87&gt;=80,5,
IF(E87&gt;=70,4,
IF(E87&gt;=60,3.5,
IF(E87&gt;=50,3,
IF(E87&gt;=40,2,
IF(E87&gt;=33,1,0))))))</f>
        <v>1</v>
      </c>
      <c r="H87" s="40">
        <f>AVERAGE(
VALUE(G87),
VALUE(G88),
VALUE(G89),
VALUE(G90),
VALUE(G91),
VALUE(G92),
VALUE(G93),
VALUE(G94),
VALUE(G95),
VALUE(G96))</f>
        <v>1</v>
      </c>
    </row>
    <row r="88">
      <c r="A88" s="5"/>
      <c r="B88" s="37" t="s">
        <v>45</v>
      </c>
      <c r="C88" s="37" t="str">
        <f>'8t'!D13</f>
        <v/>
      </c>
      <c r="D88" s="37">
        <f>'8s'!D13</f>
        <v>17</v>
      </c>
      <c r="E88" s="38">
        <f t="shared" si="24"/>
        <v>17</v>
      </c>
      <c r="F88" s="38" t="str">
        <f>IF(E88&gt;=40,"A+",
IF(E88&gt;=35,"A",
IF(E88&gt;=30,"A-",
IF(E88&gt;=25,"B",
IF(E88&gt;=20,"C",
IF(E88&gt;=16,"D","F"))))))
</f>
        <v>D</v>
      </c>
      <c r="G88" s="38">
        <f>IF(E88&gt;=40,5,
IF(E88&gt;=35,4,
IF(E88&gt;=30,3.5,
IF(E88&gt;=25,3,
IF(E88&gt;=20,2,
IF(E88&gt;=16,1,0))))))</f>
        <v>1</v>
      </c>
      <c r="H88" s="41"/>
    </row>
    <row r="89">
      <c r="A89" s="5"/>
      <c r="B89" s="37" t="s">
        <v>57</v>
      </c>
      <c r="C89" s="37">
        <f>'8t'!E13</f>
        <v>10</v>
      </c>
      <c r="D89" s="37">
        <f>'8s'!E13</f>
        <v>24</v>
      </c>
      <c r="E89" s="38">
        <f t="shared" si="24"/>
        <v>34</v>
      </c>
      <c r="F89" s="38" t="str">
        <f>IF(E89&gt;=80,"A+",
IF(E89&gt;=70,"A",
IF(E89&gt;=60,"A-",
IF(E89&gt;=50,"B",
IF(E89&gt;=40,"C",
IF(E89&gt;=33,"D","F"))))))
</f>
        <v>D</v>
      </c>
      <c r="G89" s="38">
        <f>IF(E89&gt;=80,5,
IF(E89&gt;=70,4,
IF(E89&gt;=60,3.5,
IF(E89&gt;=50,3,
IF(E89&gt;=40,2,
IF(E89&gt;=33,1,0))))))</f>
        <v>1</v>
      </c>
      <c r="H89" s="41"/>
    </row>
    <row r="90">
      <c r="A90" s="5"/>
      <c r="B90" s="37" t="s">
        <v>58</v>
      </c>
      <c r="C90" s="37" t="str">
        <f>'8t'!F13</f>
        <v/>
      </c>
      <c r="D90" s="37">
        <f>'8s'!F13</f>
        <v>17</v>
      </c>
      <c r="E90" s="38">
        <f t="shared" si="24"/>
        <v>17</v>
      </c>
      <c r="F90" s="38" t="str">
        <f>IF(E90&gt;=40,"A+",
IF(E90&gt;=35,"A",
IF(E90&gt;=30,"A-",
IF(E90&gt;=25,"B",
IF(E90&gt;=20,"C",
IF(E90&gt;=16,"D","F"))))))
</f>
        <v>D</v>
      </c>
      <c r="G90" s="38">
        <f>IF(E90&gt;=40,5,
IF(E90&gt;=35,4,
IF(E90&gt;=30,3.5,
IF(E90&gt;=25,3,
IF(E90&gt;=20,2,
IF(E90&gt;=16,1,0))))))</f>
        <v>1</v>
      </c>
      <c r="H90" s="41"/>
    </row>
    <row r="91">
      <c r="A91" s="5"/>
      <c r="B91" s="38" t="s">
        <v>40</v>
      </c>
      <c r="C91" s="37">
        <f>'8t'!G13</f>
        <v>10</v>
      </c>
      <c r="D91" s="37">
        <f>'8s'!G13</f>
        <v>24</v>
      </c>
      <c r="E91" s="38">
        <f t="shared" si="24"/>
        <v>34</v>
      </c>
      <c r="F91" s="38" t="str">
        <f t="shared" ref="F91:F95" si="25">IF(E91&gt;=80,"A+",
IF(E91&gt;=70,"A",
IF(E91&gt;=60,"A-",
IF(E91&gt;=50,"B",
IF(E91&gt;=40,"C",
IF(E91&gt;=33,"D","F"))))))
</f>
        <v>D</v>
      </c>
      <c r="G91" s="38">
        <f t="shared" ref="G91:G95" si="26">IF(E91&gt;=80,5,
IF(E91&gt;=70,4,
IF(E91&gt;=60,3.5,
IF(E91&gt;=50,3,
IF(E91&gt;=40,2,
IF(E91&gt;=33,1,0))))))</f>
        <v>1</v>
      </c>
      <c r="H91" s="41"/>
    </row>
    <row r="92">
      <c r="A92" s="5"/>
      <c r="B92" s="38" t="s">
        <v>41</v>
      </c>
      <c r="C92" s="38">
        <f>'8t'!H13</f>
        <v>10</v>
      </c>
      <c r="D92" s="38">
        <f>'8s'!H13</f>
        <v>24</v>
      </c>
      <c r="E92" s="38">
        <f t="shared" si="24"/>
        <v>34</v>
      </c>
      <c r="F92" s="38" t="str">
        <f t="shared" si="25"/>
        <v>D</v>
      </c>
      <c r="G92" s="38">
        <f t="shared" si="26"/>
        <v>1</v>
      </c>
      <c r="H92" s="41"/>
    </row>
    <row r="93">
      <c r="A93" s="5"/>
      <c r="B93" s="38" t="s">
        <v>10</v>
      </c>
      <c r="C93" s="38">
        <f>'8t'!I13</f>
        <v>10</v>
      </c>
      <c r="D93" s="38">
        <f>'8s'!I13</f>
        <v>24</v>
      </c>
      <c r="E93" s="38">
        <f t="shared" si="24"/>
        <v>34</v>
      </c>
      <c r="F93" s="38" t="str">
        <f t="shared" si="25"/>
        <v>D</v>
      </c>
      <c r="G93" s="38">
        <f t="shared" si="26"/>
        <v>1</v>
      </c>
      <c r="H93" s="41"/>
    </row>
    <row r="94">
      <c r="A94" s="5"/>
      <c r="B94" s="37" t="s">
        <v>48</v>
      </c>
      <c r="C94" s="38">
        <f>'8t'!J13</f>
        <v>10</v>
      </c>
      <c r="D94" s="38">
        <f>'8s'!J13</f>
        <v>24</v>
      </c>
      <c r="E94" s="38">
        <f t="shared" si="24"/>
        <v>34</v>
      </c>
      <c r="F94" s="38" t="str">
        <f t="shared" si="25"/>
        <v>D</v>
      </c>
      <c r="G94" s="38">
        <f t="shared" si="26"/>
        <v>1</v>
      </c>
      <c r="H94" s="41"/>
    </row>
    <row r="95">
      <c r="A95" s="5"/>
      <c r="B95" s="38" t="s">
        <v>11</v>
      </c>
      <c r="C95" s="38">
        <f>'8t'!K13</f>
        <v>10</v>
      </c>
      <c r="D95" s="38">
        <f>'8s'!K13</f>
        <v>24</v>
      </c>
      <c r="E95" s="38">
        <f t="shared" si="24"/>
        <v>34</v>
      </c>
      <c r="F95" s="38" t="str">
        <f t="shared" si="25"/>
        <v>D</v>
      </c>
      <c r="G95" s="38">
        <f t="shared" si="26"/>
        <v>1</v>
      </c>
      <c r="H95" s="41"/>
    </row>
    <row r="96">
      <c r="A96" s="8"/>
      <c r="B96" s="37" t="s">
        <v>49</v>
      </c>
      <c r="C96" s="38">
        <f>'8t'!L13</f>
        <v>9</v>
      </c>
      <c r="D96" s="38">
        <f>'8s'!L13</f>
        <v>9</v>
      </c>
      <c r="E96" s="38">
        <f t="shared" si="24"/>
        <v>18</v>
      </c>
      <c r="F96" s="38" t="str">
        <f>IF(E96&gt;=40,"A+",
IF(E96&gt;=35,"A",
IF(E96&gt;=30,"A-",
IF(E96&gt;=25,"B",
IF(E96&gt;=20,"C",
IF(E96&gt;=16,"D","F"))))))
</f>
        <v>D</v>
      </c>
      <c r="G96" s="38">
        <f>IF(E96&gt;=40,5,
IF(E96&gt;=35,4,
IF(E96&gt;=30,3.5,
IF(E96&gt;=25,3,
IF(E96&gt;=20,2,
IF(E96&gt;=16,1,0))))))</f>
        <v>1</v>
      </c>
      <c r="H96" s="12"/>
    </row>
    <row r="97">
      <c r="A97" s="30" t="s">
        <v>3</v>
      </c>
      <c r="B97" s="31" t="s">
        <v>31</v>
      </c>
      <c r="C97" s="42" t="str">
        <f>'8s'!B14</f>
        <v>TASMIYA AKTER</v>
      </c>
      <c r="D97" s="23"/>
      <c r="E97" s="23"/>
      <c r="F97" s="23"/>
      <c r="G97" s="23"/>
      <c r="H97" s="24"/>
    </row>
    <row r="98">
      <c r="A98" s="47">
        <v>9.0</v>
      </c>
      <c r="B98" s="35" t="s">
        <v>32</v>
      </c>
      <c r="C98" s="36" t="str">
        <f>'8'!C86</f>
        <v>3rd Tutorial
Exam (30)</v>
      </c>
      <c r="D98" s="36" t="str">
        <f>'8'!D86</f>
        <v>3rd Semester
Exam (70)</v>
      </c>
      <c r="E98" s="35" t="s">
        <v>35</v>
      </c>
      <c r="F98" s="36" t="s">
        <v>36</v>
      </c>
      <c r="G98" s="36" t="s">
        <v>37</v>
      </c>
      <c r="H98" s="36" t="s">
        <v>38</v>
      </c>
    </row>
    <row r="99">
      <c r="A99" s="5"/>
      <c r="B99" s="37" t="s">
        <v>44</v>
      </c>
      <c r="C99" s="37">
        <f>'8t'!C14</f>
        <v>11</v>
      </c>
      <c r="D99" s="37">
        <f>'8s'!C14</f>
        <v>24</v>
      </c>
      <c r="E99" s="38">
        <f t="shared" ref="E99:E108" si="27">SUM(C99:D99)</f>
        <v>35</v>
      </c>
      <c r="F99" s="39" t="str">
        <f>IF(E99&gt;=80,"A+",
IF(E99&gt;=70,"A",
IF(E99&gt;=60,"A-",
IF(E99&gt;=50,"B",
IF(E99&gt;=40,"C",
IF(E99&gt;=33,"D","F"))))))
</f>
        <v>D</v>
      </c>
      <c r="G99" s="38">
        <f>IF(E99&gt;=80,5,
IF(E99&gt;=70,4,
IF(E99&gt;=60,3.5,
IF(E99&gt;=50,3,
IF(E99&gt;=40,2,
IF(E99&gt;=33,1,0))))))</f>
        <v>1</v>
      </c>
      <c r="H99" s="40">
        <f>AVERAGE(
VALUE(G99),
VALUE(G100),
VALUE(G101),
VALUE(G102),
VALUE(G103),
VALUE(G104),
VALUE(G105),
VALUE(G106),
VALUE(G107),
VALUE(G108))</f>
        <v>1.3</v>
      </c>
    </row>
    <row r="100">
      <c r="A100" s="5"/>
      <c r="B100" s="37" t="s">
        <v>45</v>
      </c>
      <c r="C100" s="37" t="str">
        <f>'8t'!D14</f>
        <v/>
      </c>
      <c r="D100" s="37">
        <f>'8s'!D14</f>
        <v>18</v>
      </c>
      <c r="E100" s="38">
        <f t="shared" si="27"/>
        <v>18</v>
      </c>
      <c r="F100" s="38" t="str">
        <f>IF(E100&gt;=40,"A+",
IF(E100&gt;=35,"A",
IF(E100&gt;=30,"A-",
IF(E100&gt;=25,"B",
IF(E100&gt;=20,"C",
IF(E100&gt;=16,"D","F"))))))
</f>
        <v>D</v>
      </c>
      <c r="G100" s="38">
        <f>IF(E100&gt;=40,5,
IF(E100&gt;=35,4,
IF(E100&gt;=30,3.5,
IF(E100&gt;=25,3,
IF(E100&gt;=20,2,
IF(E100&gt;=16,1,0))))))</f>
        <v>1</v>
      </c>
      <c r="H100" s="41"/>
    </row>
    <row r="101">
      <c r="A101" s="5"/>
      <c r="B101" s="37" t="s">
        <v>57</v>
      </c>
      <c r="C101" s="37">
        <f>'8t'!E14</f>
        <v>10</v>
      </c>
      <c r="D101" s="37">
        <f>'8s'!E14</f>
        <v>24</v>
      </c>
      <c r="E101" s="38">
        <f t="shared" si="27"/>
        <v>34</v>
      </c>
      <c r="F101" s="39" t="str">
        <f>IF(E101&gt;=80,"A+",
IF(E101&gt;=70,"A",
IF(E101&gt;=60,"A-",
IF(E101&gt;=50,"B",
IF(E101&gt;=40,"C",
IF(E101&gt;=33,"D","F"))))))
</f>
        <v>D</v>
      </c>
      <c r="G101" s="38">
        <f>IF(E101&gt;=80,5,
IF(E101&gt;=70,4,
IF(E101&gt;=60,3.5,
IF(E101&gt;=50,3,
IF(E101&gt;=40,2,
IF(E101&gt;=33,1,0))))))</f>
        <v>1</v>
      </c>
      <c r="H101" s="41"/>
    </row>
    <row r="102">
      <c r="A102" s="5"/>
      <c r="B102" s="37" t="s">
        <v>58</v>
      </c>
      <c r="C102" s="37" t="str">
        <f>'8t'!F14</f>
        <v/>
      </c>
      <c r="D102" s="37">
        <f>'8s'!F14</f>
        <v>17</v>
      </c>
      <c r="E102" s="38">
        <f t="shared" si="27"/>
        <v>17</v>
      </c>
      <c r="F102" s="38" t="str">
        <f>IF(E102&gt;=40,"A+",
IF(E102&gt;=35,"A",
IF(E102&gt;=30,"A-",
IF(E102&gt;=25,"B",
IF(E102&gt;=20,"C",
IF(E102&gt;=16,"D","F"))))))
</f>
        <v>D</v>
      </c>
      <c r="G102" s="38">
        <f>IF(E102&gt;=40,5,
IF(E102&gt;=35,4,
IF(E102&gt;=30,3.5,
IF(E102&gt;=25,3,
IF(E102&gt;=20,2,
IF(E102&gt;=16,1,0))))))</f>
        <v>1</v>
      </c>
      <c r="H102" s="41"/>
    </row>
    <row r="103">
      <c r="A103" s="5"/>
      <c r="B103" s="38" t="s">
        <v>40</v>
      </c>
      <c r="C103" s="37">
        <f>'8t'!G14</f>
        <v>10</v>
      </c>
      <c r="D103" s="37">
        <f>'8s'!G14</f>
        <v>24</v>
      </c>
      <c r="E103" s="38">
        <f t="shared" si="27"/>
        <v>34</v>
      </c>
      <c r="F103" s="39" t="str">
        <f t="shared" ref="F103:F107" si="28">IF(E103&gt;=80,"A+",
IF(E103&gt;=70,"A",
IF(E103&gt;=60,"A-",
IF(E103&gt;=50,"B",
IF(E103&gt;=40,"C",
IF(E103&gt;=33,"D","F"))))))
</f>
        <v>D</v>
      </c>
      <c r="G103" s="38">
        <f t="shared" ref="G103:G107" si="29">IF(E103&gt;=80,5,
IF(E103&gt;=70,4,
IF(E103&gt;=60,3.5,
IF(E103&gt;=50,3,
IF(E103&gt;=40,2,
IF(E103&gt;=33,1,0))))))</f>
        <v>1</v>
      </c>
      <c r="H103" s="41"/>
    </row>
    <row r="104">
      <c r="A104" s="5"/>
      <c r="B104" s="38" t="s">
        <v>41</v>
      </c>
      <c r="C104" s="38">
        <f>'8t'!H14</f>
        <v>10</v>
      </c>
      <c r="D104" s="38">
        <f>'8s'!H14</f>
        <v>24</v>
      </c>
      <c r="E104" s="38">
        <f t="shared" si="27"/>
        <v>34</v>
      </c>
      <c r="F104" s="39" t="str">
        <f t="shared" si="28"/>
        <v>D</v>
      </c>
      <c r="G104" s="38">
        <f t="shared" si="29"/>
        <v>1</v>
      </c>
      <c r="H104" s="41"/>
    </row>
    <row r="105">
      <c r="A105" s="5"/>
      <c r="B105" s="38" t="s">
        <v>10</v>
      </c>
      <c r="C105" s="38">
        <f>'8t'!I14</f>
        <v>10</v>
      </c>
      <c r="D105" s="38">
        <f>'8s'!I14</f>
        <v>29</v>
      </c>
      <c r="E105" s="38">
        <f t="shared" si="27"/>
        <v>39</v>
      </c>
      <c r="F105" s="39" t="str">
        <f t="shared" si="28"/>
        <v>D</v>
      </c>
      <c r="G105" s="38">
        <f t="shared" si="29"/>
        <v>1</v>
      </c>
      <c r="H105" s="41"/>
    </row>
    <row r="106">
      <c r="A106" s="5"/>
      <c r="B106" s="37" t="s">
        <v>48</v>
      </c>
      <c r="C106" s="38">
        <f>'8t'!J14</f>
        <v>17</v>
      </c>
      <c r="D106" s="38">
        <f>'8s'!J14</f>
        <v>24</v>
      </c>
      <c r="E106" s="38">
        <f t="shared" si="27"/>
        <v>41</v>
      </c>
      <c r="F106" s="39" t="str">
        <f t="shared" si="28"/>
        <v>C</v>
      </c>
      <c r="G106" s="38">
        <f t="shared" si="29"/>
        <v>2</v>
      </c>
      <c r="H106" s="41"/>
    </row>
    <row r="107">
      <c r="A107" s="5"/>
      <c r="B107" s="38" t="s">
        <v>11</v>
      </c>
      <c r="C107" s="38">
        <f>'8t'!K14</f>
        <v>17</v>
      </c>
      <c r="D107" s="38">
        <f>'8s'!K14</f>
        <v>24</v>
      </c>
      <c r="E107" s="38">
        <f t="shared" si="27"/>
        <v>41</v>
      </c>
      <c r="F107" s="39" t="str">
        <f t="shared" si="28"/>
        <v>C</v>
      </c>
      <c r="G107" s="38">
        <f t="shared" si="29"/>
        <v>2</v>
      </c>
      <c r="H107" s="41"/>
    </row>
    <row r="108">
      <c r="A108" s="8"/>
      <c r="B108" s="37" t="s">
        <v>49</v>
      </c>
      <c r="C108" s="38">
        <f>'8t'!L14</f>
        <v>10</v>
      </c>
      <c r="D108" s="38">
        <f>'8s'!L14</f>
        <v>10</v>
      </c>
      <c r="E108" s="38">
        <f t="shared" si="27"/>
        <v>20</v>
      </c>
      <c r="F108" s="38" t="str">
        <f>IF(E108&gt;=40,"A+",
IF(E108&gt;=35,"A",
IF(E108&gt;=30,"A-",
IF(E108&gt;=25,"B",
IF(E108&gt;=20,"C",
IF(E108&gt;=16,"D","F"))))))
</f>
        <v>C</v>
      </c>
      <c r="G108" s="38">
        <f>IF(E108&gt;=40,5,
IF(E108&gt;=35,4,
IF(E108&gt;=30,3.5,
IF(E108&gt;=25,3,
IF(E108&gt;=20,2,
IF(E108&gt;=16,1,0))))))</f>
        <v>2</v>
      </c>
      <c r="H108" s="12"/>
    </row>
    <row r="109">
      <c r="A109" s="30" t="s">
        <v>3</v>
      </c>
      <c r="B109" s="31" t="s">
        <v>31</v>
      </c>
      <c r="C109" s="42" t="str">
        <f>'8s'!B15</f>
        <v>SHKIL</v>
      </c>
      <c r="D109" s="23"/>
      <c r="E109" s="23"/>
      <c r="F109" s="23"/>
      <c r="G109" s="23"/>
      <c r="H109" s="24"/>
    </row>
    <row r="110">
      <c r="A110" s="47">
        <v>10.0</v>
      </c>
      <c r="B110" s="35" t="s">
        <v>32</v>
      </c>
      <c r="C110" s="36" t="str">
        <f>'8'!C98</f>
        <v>3rd Tutorial
Exam (30)</v>
      </c>
      <c r="D110" s="36" t="str">
        <f>'8'!D98</f>
        <v>3rd Semester
Exam (70)</v>
      </c>
      <c r="E110" s="35" t="s">
        <v>35</v>
      </c>
      <c r="F110" s="36" t="s">
        <v>36</v>
      </c>
      <c r="G110" s="36" t="s">
        <v>37</v>
      </c>
      <c r="H110" s="36" t="s">
        <v>38</v>
      </c>
    </row>
    <row r="111">
      <c r="A111" s="5"/>
      <c r="B111" s="37" t="s">
        <v>44</v>
      </c>
      <c r="C111" s="37">
        <f>'8t'!C15</f>
        <v>17</v>
      </c>
      <c r="D111" s="37">
        <f>'8s'!C15</f>
        <v>24</v>
      </c>
      <c r="E111" s="38">
        <f t="shared" ref="E111:E120" si="30">SUM(C111:D111)</f>
        <v>41</v>
      </c>
      <c r="F111" s="39" t="str">
        <f>IF(E111&gt;=80,"A+",
IF(E111&gt;=70,"A",
IF(E111&gt;=60,"A-",
IF(E111&gt;=50,"B",
IF(E111&gt;=40,"C",
IF(E111&gt;=33,"D","F"))))))
</f>
        <v>C</v>
      </c>
      <c r="G111" s="38">
        <f>IF(E111&gt;=80,5,
IF(E111&gt;=70,4,
IF(E111&gt;=60,3.5,
IF(E111&gt;=50,3,
IF(E111&gt;=40,2,
IF(E111&gt;=33,1,0))))))</f>
        <v>2</v>
      </c>
      <c r="H111" s="40">
        <f>AVERAGE(
VALUE(G111),
VALUE(G112),
VALUE(G113),
VALUE(G114),
VALUE(G115),
VALUE(G116),
VALUE(G117),
VALUE(G118),
VALUE(G119),
VALUE(G120))</f>
        <v>2</v>
      </c>
    </row>
    <row r="112">
      <c r="A112" s="5"/>
      <c r="B112" s="37" t="s">
        <v>45</v>
      </c>
      <c r="C112" s="37" t="str">
        <f>'8t'!D15</f>
        <v/>
      </c>
      <c r="D112" s="37">
        <f>'8s'!D15</f>
        <v>27</v>
      </c>
      <c r="E112" s="38">
        <f t="shared" si="30"/>
        <v>27</v>
      </c>
      <c r="F112" s="38" t="str">
        <f>IF(E112&gt;=40,"A+",
IF(E112&gt;=35,"A",
IF(E112&gt;=30,"A-",
IF(E112&gt;=25,"B",
IF(E112&gt;=20,"C",
IF(E112&gt;=16,"D","F"))))))
</f>
        <v>B</v>
      </c>
      <c r="G112" s="38">
        <f>IF(E112&gt;=40,5,
IF(E112&gt;=35,4,
IF(E112&gt;=30,3.5,
IF(E112&gt;=25,3,
IF(E112&gt;=20,2,
IF(E112&gt;=16,1,0))))))</f>
        <v>3</v>
      </c>
      <c r="H112" s="41"/>
    </row>
    <row r="113">
      <c r="A113" s="5"/>
      <c r="B113" s="37" t="s">
        <v>57</v>
      </c>
      <c r="C113" s="37">
        <f>'8t'!E15</f>
        <v>18</v>
      </c>
      <c r="D113" s="37">
        <f>'8s'!E15</f>
        <v>24</v>
      </c>
      <c r="E113" s="38">
        <f t="shared" si="30"/>
        <v>42</v>
      </c>
      <c r="F113" s="39" t="str">
        <f>IF(E113&gt;=80,"A+",
IF(E113&gt;=70,"A",
IF(E113&gt;=60,"A-",
IF(E113&gt;=50,"B",
IF(E113&gt;=40,"C",
IF(E113&gt;=33,"D","F"))))))
</f>
        <v>C</v>
      </c>
      <c r="G113" s="38">
        <f>IF(E113&gt;=80,5,
IF(E113&gt;=70,4,
IF(E113&gt;=60,3.5,
IF(E113&gt;=50,3,
IF(E113&gt;=40,2,
IF(E113&gt;=33,1,0))))))</f>
        <v>2</v>
      </c>
      <c r="H113" s="41"/>
    </row>
    <row r="114">
      <c r="A114" s="5"/>
      <c r="B114" s="37" t="s">
        <v>58</v>
      </c>
      <c r="C114" s="37" t="str">
        <f>'8t'!F15</f>
        <v/>
      </c>
      <c r="D114" s="37">
        <f>'8s'!F15</f>
        <v>17</v>
      </c>
      <c r="E114" s="38">
        <f t="shared" si="30"/>
        <v>17</v>
      </c>
      <c r="F114" s="38" t="str">
        <f>IF(E114&gt;=40,"A+",
IF(E114&gt;=35,"A",
IF(E114&gt;=30,"A-",
IF(E114&gt;=25,"B",
IF(E114&gt;=20,"C",
IF(E114&gt;=16,"D","F"))))))
</f>
        <v>D</v>
      </c>
      <c r="G114" s="38">
        <f>IF(E114&gt;=40,5,
IF(E114&gt;=35,4,
IF(E114&gt;=30,3.5,
IF(E114&gt;=25,3,
IF(E114&gt;=20,2,
IF(E114&gt;=16,1,0))))))</f>
        <v>1</v>
      </c>
      <c r="H114" s="41"/>
    </row>
    <row r="115">
      <c r="A115" s="5"/>
      <c r="B115" s="38" t="s">
        <v>40</v>
      </c>
      <c r="C115" s="37">
        <f>'8t'!G15</f>
        <v>10</v>
      </c>
      <c r="D115" s="37">
        <f>'8s'!G15</f>
        <v>24</v>
      </c>
      <c r="E115" s="38">
        <f t="shared" si="30"/>
        <v>34</v>
      </c>
      <c r="F115" s="39" t="str">
        <f t="shared" ref="F115:F119" si="31">IF(E115&gt;=80,"A+",
IF(E115&gt;=70,"A",
IF(E115&gt;=60,"A-",
IF(E115&gt;=50,"B",
IF(E115&gt;=40,"C",
IF(E115&gt;=33,"D","F"))))))
</f>
        <v>D</v>
      </c>
      <c r="G115" s="38">
        <f t="shared" ref="G115:G119" si="32">IF(E115&gt;=80,5,
IF(E115&gt;=70,4,
IF(E115&gt;=60,3.5,
IF(E115&gt;=50,3,
IF(E115&gt;=40,2,
IF(E115&gt;=33,1,0))))))</f>
        <v>1</v>
      </c>
      <c r="H115" s="41"/>
    </row>
    <row r="116">
      <c r="A116" s="5"/>
      <c r="B116" s="38" t="s">
        <v>41</v>
      </c>
      <c r="C116" s="38">
        <f>'8t'!H15</f>
        <v>14</v>
      </c>
      <c r="D116" s="38">
        <f>'8s'!H15</f>
        <v>24</v>
      </c>
      <c r="E116" s="38">
        <f t="shared" si="30"/>
        <v>38</v>
      </c>
      <c r="F116" s="39" t="str">
        <f t="shared" si="31"/>
        <v>D</v>
      </c>
      <c r="G116" s="38">
        <f t="shared" si="32"/>
        <v>1</v>
      </c>
      <c r="H116" s="41"/>
    </row>
    <row r="117">
      <c r="A117" s="5"/>
      <c r="B117" s="38" t="s">
        <v>10</v>
      </c>
      <c r="C117" s="38">
        <f>'8t'!I15</f>
        <v>18</v>
      </c>
      <c r="D117" s="38">
        <f>'8s'!I15</f>
        <v>24</v>
      </c>
      <c r="E117" s="38">
        <f t="shared" si="30"/>
        <v>42</v>
      </c>
      <c r="F117" s="39" t="str">
        <f t="shared" si="31"/>
        <v>C</v>
      </c>
      <c r="G117" s="38">
        <f t="shared" si="32"/>
        <v>2</v>
      </c>
      <c r="H117" s="41"/>
    </row>
    <row r="118">
      <c r="A118" s="5"/>
      <c r="B118" s="37" t="s">
        <v>48</v>
      </c>
      <c r="C118" s="38">
        <f>'8t'!J15</f>
        <v>30</v>
      </c>
      <c r="D118" s="38">
        <f>'8s'!J15</f>
        <v>24</v>
      </c>
      <c r="E118" s="38">
        <f t="shared" si="30"/>
        <v>54</v>
      </c>
      <c r="F118" s="39" t="str">
        <f t="shared" si="31"/>
        <v>B</v>
      </c>
      <c r="G118" s="38">
        <f t="shared" si="32"/>
        <v>3</v>
      </c>
      <c r="H118" s="41"/>
    </row>
    <row r="119">
      <c r="A119" s="5"/>
      <c r="B119" s="38" t="s">
        <v>11</v>
      </c>
      <c r="C119" s="38">
        <f>'8t'!K15</f>
        <v>29</v>
      </c>
      <c r="D119" s="38">
        <f>'8s'!K15</f>
        <v>24</v>
      </c>
      <c r="E119" s="38">
        <f t="shared" si="30"/>
        <v>53</v>
      </c>
      <c r="F119" s="39" t="str">
        <f t="shared" si="31"/>
        <v>B</v>
      </c>
      <c r="G119" s="38">
        <f t="shared" si="32"/>
        <v>3</v>
      </c>
      <c r="H119" s="41"/>
    </row>
    <row r="120">
      <c r="A120" s="8"/>
      <c r="B120" s="37" t="s">
        <v>49</v>
      </c>
      <c r="C120" s="38">
        <f>'8t'!L15</f>
        <v>11</v>
      </c>
      <c r="D120" s="38">
        <f>'8s'!L15</f>
        <v>11</v>
      </c>
      <c r="E120" s="38">
        <f t="shared" si="30"/>
        <v>22</v>
      </c>
      <c r="F120" s="38" t="str">
        <f>IF(E120&gt;=40,"A+",
IF(E120&gt;=35,"A",
IF(E120&gt;=30,"A-",
IF(E120&gt;=25,"B",
IF(E120&gt;=20,"C",
IF(E120&gt;=16,"D","F"))))))
</f>
        <v>C</v>
      </c>
      <c r="G120" s="38">
        <f>IF(E120&gt;=40,5,
IF(E120&gt;=35,4,
IF(E120&gt;=30,3.5,
IF(E120&gt;=25,3,
IF(E120&gt;=20,2,
IF(E120&gt;=16,1,0))))))</f>
        <v>2</v>
      </c>
      <c r="H120" s="12"/>
    </row>
    <row r="121">
      <c r="A121" s="30" t="s">
        <v>3</v>
      </c>
      <c r="B121" s="31" t="s">
        <v>31</v>
      </c>
      <c r="C121" s="42" t="str">
        <f>'8s'!B16</f>
        <v>RAKIB HASAN</v>
      </c>
      <c r="D121" s="23"/>
      <c r="E121" s="23"/>
      <c r="F121" s="23"/>
      <c r="G121" s="23"/>
      <c r="H121" s="24"/>
    </row>
    <row r="122">
      <c r="A122" s="47">
        <v>11.0</v>
      </c>
      <c r="B122" s="35" t="s">
        <v>32</v>
      </c>
      <c r="C122" s="36" t="str">
        <f>'8'!C110</f>
        <v>3rd Tutorial
Exam (30)</v>
      </c>
      <c r="D122" s="36" t="str">
        <f>'8'!D110</f>
        <v>3rd Semester
Exam (70)</v>
      </c>
      <c r="E122" s="35" t="s">
        <v>35</v>
      </c>
      <c r="F122" s="36" t="s">
        <v>36</v>
      </c>
      <c r="G122" s="36" t="s">
        <v>37</v>
      </c>
      <c r="H122" s="36" t="s">
        <v>38</v>
      </c>
    </row>
    <row r="123">
      <c r="A123" s="5"/>
      <c r="B123" s="37" t="s">
        <v>44</v>
      </c>
      <c r="C123" s="37" t="str">
        <f>'8t'!C16</f>
        <v/>
      </c>
      <c r="D123" s="37">
        <f>'8s'!C16</f>
        <v>24</v>
      </c>
      <c r="E123" s="38">
        <f t="shared" ref="E123:E132" si="33">SUM(C123:D123)</f>
        <v>24</v>
      </c>
      <c r="F123" s="39" t="str">
        <f>IF(E123&gt;=80,"A+",
IF(E123&gt;=70,"A",
IF(E123&gt;=60,"A-",
IF(E123&gt;=50,"B",
IF(E123&gt;=40,"C",
IF(E123&gt;=33,"D","F"))))))
</f>
        <v>F</v>
      </c>
      <c r="G123" s="38">
        <f>IF(E123&gt;=80,5,
IF(E123&gt;=70,4,
IF(E123&gt;=60,3.5,
IF(E123&gt;=50,3,
IF(E123&gt;=40,2,
IF(E123&gt;=33,1,0))))))</f>
        <v>0</v>
      </c>
      <c r="H123" s="40">
        <f>AVERAGE(
VALUE(G123),
VALUE(G124),
VALUE(G125),
VALUE(G126),
VALUE(G127),
VALUE(G128),
VALUE(G129),
VALUE(G130),
VALUE(G131),
VALUE(G132))</f>
        <v>0.55</v>
      </c>
    </row>
    <row r="124">
      <c r="A124" s="5"/>
      <c r="B124" s="37" t="s">
        <v>45</v>
      </c>
      <c r="C124" s="37" t="str">
        <f>'8t'!D16</f>
        <v/>
      </c>
      <c r="D124" s="37">
        <f>'8s'!D16</f>
        <v>17</v>
      </c>
      <c r="E124" s="38">
        <f t="shared" si="33"/>
        <v>17</v>
      </c>
      <c r="F124" s="38" t="str">
        <f>IF(E124&gt;=40,"A+",
IF(E124&gt;=35,"A",
IF(E124&gt;=30,"A-",
IF(E124&gt;=25,"B",
IF(E124&gt;=20,"C",
IF(E124&gt;=16,"D","F"))))))
</f>
        <v>D</v>
      </c>
      <c r="G124" s="38">
        <f>IF(E124&gt;=40,5,
IF(E124&gt;=35,4,
IF(E124&gt;=30,3.5,
IF(E124&gt;=25,3,
IF(E124&gt;=20,2,
IF(E124&gt;=16,1,0))))))</f>
        <v>1</v>
      </c>
      <c r="H124" s="41"/>
    </row>
    <row r="125">
      <c r="A125" s="5"/>
      <c r="B125" s="37" t="s">
        <v>57</v>
      </c>
      <c r="C125" s="37" t="str">
        <f>'8t'!E16</f>
        <v/>
      </c>
      <c r="D125" s="37">
        <f>'8s'!E16</f>
        <v>24</v>
      </c>
      <c r="E125" s="38">
        <f t="shared" si="33"/>
        <v>24</v>
      </c>
      <c r="F125" s="39" t="str">
        <f>IF(E125&gt;=80,"A+",
IF(E125&gt;=70,"A",
IF(E125&gt;=60,"A-",
IF(E125&gt;=50,"B",
IF(E125&gt;=40,"C",
IF(E125&gt;=33,"D","F"))))))
</f>
        <v>F</v>
      </c>
      <c r="G125" s="38">
        <f>IF(E125&gt;=80,5,
IF(E125&gt;=70,4,
IF(E125&gt;=60,3.5,
IF(E125&gt;=50,3,
IF(E125&gt;=40,2,
IF(E125&gt;=33,1,0))))))</f>
        <v>0</v>
      </c>
      <c r="H125" s="41"/>
    </row>
    <row r="126">
      <c r="A126" s="5"/>
      <c r="B126" s="37" t="s">
        <v>58</v>
      </c>
      <c r="C126" s="37" t="str">
        <f>'8t'!F16</f>
        <v/>
      </c>
      <c r="D126" s="37">
        <f>'8s'!F16</f>
        <v>17</v>
      </c>
      <c r="E126" s="38">
        <f t="shared" si="33"/>
        <v>17</v>
      </c>
      <c r="F126" s="38" t="str">
        <f>IF(E126&gt;=40,"A+",
IF(E126&gt;=35,"A",
IF(E126&gt;=30,"A-",
IF(E126&gt;=25,"B",
IF(E126&gt;=20,"C",
IF(E126&gt;=16,"D","F"))))))
</f>
        <v>D</v>
      </c>
      <c r="G126" s="38">
        <f>IF(E126&gt;=40,5,
IF(E126&gt;=35,4,
IF(E126&gt;=30,3.5,
IF(E126&gt;=25,3,
IF(E126&gt;=20,2,
IF(E126&gt;=16,1,0))))))</f>
        <v>1</v>
      </c>
      <c r="H126" s="41"/>
    </row>
    <row r="127">
      <c r="A127" s="5"/>
      <c r="B127" s="38" t="s">
        <v>40</v>
      </c>
      <c r="C127" s="37" t="str">
        <f>'8t'!G16</f>
        <v/>
      </c>
      <c r="D127" s="37">
        <f>'8s'!G16</f>
        <v>24</v>
      </c>
      <c r="E127" s="38">
        <f t="shared" si="33"/>
        <v>24</v>
      </c>
      <c r="F127" s="39" t="str">
        <f t="shared" ref="F127:F131" si="34">IF(E127&gt;=80,"A+",
IF(E127&gt;=70,"A",
IF(E127&gt;=60,"A-",
IF(E127&gt;=50,"B",
IF(E127&gt;=40,"C",
IF(E127&gt;=33,"D","F"))))))
</f>
        <v>F</v>
      </c>
      <c r="G127" s="38">
        <f t="shared" ref="G127:G131" si="35">IF(E127&gt;=80,5,
IF(E127&gt;=70,4,
IF(E127&gt;=60,3.5,
IF(E127&gt;=50,3,
IF(E127&gt;=40,2,
IF(E127&gt;=33,1,0))))))</f>
        <v>0</v>
      </c>
      <c r="H127" s="41"/>
    </row>
    <row r="128">
      <c r="A128" s="5"/>
      <c r="B128" s="38" t="s">
        <v>41</v>
      </c>
      <c r="C128" s="38" t="str">
        <f>'8t'!H16</f>
        <v/>
      </c>
      <c r="D128" s="38">
        <f>'8s'!H16</f>
        <v>24</v>
      </c>
      <c r="E128" s="38">
        <f t="shared" si="33"/>
        <v>24</v>
      </c>
      <c r="F128" s="39" t="str">
        <f t="shared" si="34"/>
        <v>F</v>
      </c>
      <c r="G128" s="38">
        <f t="shared" si="35"/>
        <v>0</v>
      </c>
      <c r="H128" s="41"/>
    </row>
    <row r="129">
      <c r="A129" s="5"/>
      <c r="B129" s="38" t="s">
        <v>10</v>
      </c>
      <c r="C129" s="38" t="str">
        <f>'8t'!I16</f>
        <v/>
      </c>
      <c r="D129" s="38">
        <f>'8s'!I16</f>
        <v>24</v>
      </c>
      <c r="E129" s="38">
        <f t="shared" si="33"/>
        <v>24</v>
      </c>
      <c r="F129" s="39" t="str">
        <f t="shared" si="34"/>
        <v>F</v>
      </c>
      <c r="G129" s="38">
        <f t="shared" si="35"/>
        <v>0</v>
      </c>
      <c r="H129" s="41"/>
    </row>
    <row r="130">
      <c r="A130" s="5"/>
      <c r="B130" s="37" t="s">
        <v>48</v>
      </c>
      <c r="C130" s="38" t="str">
        <f>'8t'!J16</f>
        <v/>
      </c>
      <c r="D130" s="38">
        <f>'8s'!J16</f>
        <v>24</v>
      </c>
      <c r="E130" s="38">
        <f t="shared" si="33"/>
        <v>24</v>
      </c>
      <c r="F130" s="39" t="str">
        <f t="shared" si="34"/>
        <v>F</v>
      </c>
      <c r="G130" s="38">
        <f t="shared" si="35"/>
        <v>0</v>
      </c>
      <c r="H130" s="41"/>
    </row>
    <row r="131">
      <c r="A131" s="5"/>
      <c r="B131" s="38" t="s">
        <v>11</v>
      </c>
      <c r="C131" s="38" t="str">
        <f>'8t'!K16</f>
        <v/>
      </c>
      <c r="D131" s="38">
        <f>'8s'!K16</f>
        <v>24</v>
      </c>
      <c r="E131" s="38">
        <f t="shared" si="33"/>
        <v>24</v>
      </c>
      <c r="F131" s="39" t="str">
        <f t="shared" si="34"/>
        <v>F</v>
      </c>
      <c r="G131" s="38">
        <f t="shared" si="35"/>
        <v>0</v>
      </c>
      <c r="H131" s="41"/>
    </row>
    <row r="132">
      <c r="A132" s="8"/>
      <c r="B132" s="37" t="s">
        <v>49</v>
      </c>
      <c r="C132" s="38">
        <f>'8t'!L16</f>
        <v>16</v>
      </c>
      <c r="D132" s="38">
        <f>'8s'!L16</f>
        <v>16</v>
      </c>
      <c r="E132" s="38">
        <f t="shared" si="33"/>
        <v>32</v>
      </c>
      <c r="F132" s="38" t="str">
        <f>IF(E132&gt;=40,"A+",
IF(E132&gt;=35,"A",
IF(E132&gt;=30,"A-",
IF(E132&gt;=25,"B",
IF(E132&gt;=20,"C",
IF(E132&gt;=16,"D","F"))))))
</f>
        <v>A-</v>
      </c>
      <c r="G132" s="38">
        <f>IF(E132&gt;=40,5,
IF(E132&gt;=35,4,
IF(E132&gt;=30,3.5,
IF(E132&gt;=25,3,
IF(E132&gt;=20,2,
IF(E132&gt;=16,1,0))))))</f>
        <v>3.5</v>
      </c>
      <c r="H132" s="12"/>
    </row>
    <row r="133">
      <c r="A133" s="30" t="s">
        <v>3</v>
      </c>
      <c r="B133" s="31" t="s">
        <v>31</v>
      </c>
      <c r="C133" s="42" t="str">
        <f>'8s'!B17</f>
        <v>SOUROV ISLAM</v>
      </c>
      <c r="D133" s="23"/>
      <c r="E133" s="23"/>
      <c r="F133" s="23"/>
      <c r="G133" s="23"/>
      <c r="H133" s="24"/>
    </row>
    <row r="134">
      <c r="A134" s="47">
        <v>12.0</v>
      </c>
      <c r="B134" s="35" t="s">
        <v>32</v>
      </c>
      <c r="C134" s="36" t="str">
        <f>'8'!C122</f>
        <v>3rd Tutorial
Exam (30)</v>
      </c>
      <c r="D134" s="36" t="str">
        <f>'8'!D122</f>
        <v>3rd Semester
Exam (70)</v>
      </c>
      <c r="E134" s="35" t="s">
        <v>35</v>
      </c>
      <c r="F134" s="36" t="s">
        <v>36</v>
      </c>
      <c r="G134" s="36" t="s">
        <v>37</v>
      </c>
      <c r="H134" s="36" t="s">
        <v>38</v>
      </c>
    </row>
    <row r="135">
      <c r="A135" s="5"/>
      <c r="B135" s="37" t="s">
        <v>44</v>
      </c>
      <c r="C135" s="37">
        <f>'8t'!C17</f>
        <v>15</v>
      </c>
      <c r="D135" s="37">
        <f>'8s'!C17</f>
        <v>24</v>
      </c>
      <c r="E135" s="38">
        <f t="shared" ref="E135:E144" si="36">SUM(C135:D135)</f>
        <v>39</v>
      </c>
      <c r="F135" s="39" t="str">
        <f>IF(E135&gt;=80,"A+",
IF(E135&gt;=70,"A",
IF(E135&gt;=60,"A-",
IF(E135&gt;=50,"B",
IF(E135&gt;=40,"C",
IF(E135&gt;=33,"D","F"))))))
</f>
        <v>D</v>
      </c>
      <c r="G135" s="38">
        <f>IF(E135&gt;=80,5,
IF(E135&gt;=70,4,
IF(E135&gt;=60,3.5,
IF(E135&gt;=50,3,
IF(E135&gt;=40,2,
IF(E135&gt;=33,1,0))))))</f>
        <v>1</v>
      </c>
      <c r="H135" s="40">
        <f>AVERAGE(
VALUE(G135),
VALUE(G136),
VALUE(G137),
VALUE(G138),
VALUE(G139),
VALUE(G140),
VALUE(G141),
VALUE(G142),
VALUE(G143),
VALUE(G144))</f>
        <v>1.85</v>
      </c>
    </row>
    <row r="136">
      <c r="A136" s="5"/>
      <c r="B136" s="37" t="s">
        <v>45</v>
      </c>
      <c r="C136" s="37" t="str">
        <f>'8t'!D17</f>
        <v/>
      </c>
      <c r="D136" s="37">
        <f>'8s'!D17</f>
        <v>17</v>
      </c>
      <c r="E136" s="38">
        <f t="shared" si="36"/>
        <v>17</v>
      </c>
      <c r="F136" s="38" t="str">
        <f>IF(E136&gt;=40,"A+",
IF(E136&gt;=35,"A",
IF(E136&gt;=30,"A-",
IF(E136&gt;=25,"B",
IF(E136&gt;=20,"C",
IF(E136&gt;=16,"D","F"))))))
</f>
        <v>D</v>
      </c>
      <c r="G136" s="38">
        <f>IF(E136&gt;=40,5,
IF(E136&gt;=35,4,
IF(E136&gt;=30,3.5,
IF(E136&gt;=25,3,
IF(E136&gt;=20,2,
IF(E136&gt;=16,1,0))))))</f>
        <v>1</v>
      </c>
      <c r="H136" s="41"/>
    </row>
    <row r="137">
      <c r="A137" s="5"/>
      <c r="B137" s="37" t="s">
        <v>57</v>
      </c>
      <c r="C137" s="37">
        <f>'8t'!E17</f>
        <v>18</v>
      </c>
      <c r="D137" s="37">
        <f>'8s'!E17</f>
        <v>24</v>
      </c>
      <c r="E137" s="38">
        <f t="shared" si="36"/>
        <v>42</v>
      </c>
      <c r="F137" s="39" t="str">
        <f>IF(E137&gt;=80,"A+",
IF(E137&gt;=70,"A",
IF(E137&gt;=60,"A-",
IF(E137&gt;=50,"B",
IF(E137&gt;=40,"C",
IF(E137&gt;=33,"D","F"))))))
</f>
        <v>C</v>
      </c>
      <c r="G137" s="38">
        <f>IF(E137&gt;=80,5,
IF(E137&gt;=70,4,
IF(E137&gt;=60,3.5,
IF(E137&gt;=50,3,
IF(E137&gt;=40,2,
IF(E137&gt;=33,1,0))))))</f>
        <v>2</v>
      </c>
      <c r="H137" s="41"/>
    </row>
    <row r="138">
      <c r="A138" s="5"/>
      <c r="B138" s="37" t="s">
        <v>58</v>
      </c>
      <c r="C138" s="37" t="str">
        <f>'8t'!F17</f>
        <v/>
      </c>
      <c r="D138" s="37">
        <f>'8s'!F17</f>
        <v>17</v>
      </c>
      <c r="E138" s="38">
        <f t="shared" si="36"/>
        <v>17</v>
      </c>
      <c r="F138" s="38" t="str">
        <f>IF(E138&gt;=40,"A+",
IF(E138&gt;=35,"A",
IF(E138&gt;=30,"A-",
IF(E138&gt;=25,"B",
IF(E138&gt;=20,"C",
IF(E138&gt;=16,"D","F"))))))
</f>
        <v>D</v>
      </c>
      <c r="G138" s="38">
        <f>IF(E138&gt;=40,5,
IF(E138&gt;=35,4,
IF(E138&gt;=30,3.5,
IF(E138&gt;=25,3,
IF(E138&gt;=20,2,
IF(E138&gt;=16,1,0))))))</f>
        <v>1</v>
      </c>
      <c r="H138" s="41"/>
    </row>
    <row r="139">
      <c r="A139" s="5"/>
      <c r="B139" s="38" t="s">
        <v>40</v>
      </c>
      <c r="C139" s="37">
        <f>'8t'!G17</f>
        <v>23</v>
      </c>
      <c r="D139" s="37">
        <f>'8s'!G17</f>
        <v>24</v>
      </c>
      <c r="E139" s="38">
        <f t="shared" si="36"/>
        <v>47</v>
      </c>
      <c r="F139" s="39" t="str">
        <f t="shared" ref="F139:F143" si="37">IF(E139&gt;=80,"A+",
IF(E139&gt;=70,"A",
IF(E139&gt;=60,"A-",
IF(E139&gt;=50,"B",
IF(E139&gt;=40,"C",
IF(E139&gt;=33,"D","F"))))))
</f>
        <v>C</v>
      </c>
      <c r="G139" s="38">
        <f t="shared" ref="G139:G143" si="38">IF(E139&gt;=80,5,
IF(E139&gt;=70,4,
IF(E139&gt;=60,3.5,
IF(E139&gt;=50,3,
IF(E139&gt;=40,2,
IF(E139&gt;=33,1,0))))))</f>
        <v>2</v>
      </c>
      <c r="H139" s="41"/>
    </row>
    <row r="140">
      <c r="A140" s="5"/>
      <c r="B140" s="38" t="s">
        <v>41</v>
      </c>
      <c r="C140" s="38">
        <f>'8t'!H17</f>
        <v>17</v>
      </c>
      <c r="D140" s="38">
        <f>'8s'!H17</f>
        <v>28</v>
      </c>
      <c r="E140" s="38">
        <f t="shared" si="36"/>
        <v>45</v>
      </c>
      <c r="F140" s="39" t="str">
        <f t="shared" si="37"/>
        <v>C</v>
      </c>
      <c r="G140" s="38">
        <f t="shared" si="38"/>
        <v>2</v>
      </c>
      <c r="H140" s="41"/>
    </row>
    <row r="141">
      <c r="A141" s="5"/>
      <c r="B141" s="38" t="s">
        <v>10</v>
      </c>
      <c r="C141" s="38">
        <f>'8t'!I17</f>
        <v>13</v>
      </c>
      <c r="D141" s="38">
        <f>'8s'!I17</f>
        <v>24</v>
      </c>
      <c r="E141" s="38">
        <f t="shared" si="36"/>
        <v>37</v>
      </c>
      <c r="F141" s="39" t="str">
        <f t="shared" si="37"/>
        <v>D</v>
      </c>
      <c r="G141" s="38">
        <f t="shared" si="38"/>
        <v>1</v>
      </c>
      <c r="H141" s="41"/>
    </row>
    <row r="142">
      <c r="A142" s="5"/>
      <c r="B142" s="37" t="s">
        <v>48</v>
      </c>
      <c r="C142" s="38">
        <f>'8t'!J17</f>
        <v>20</v>
      </c>
      <c r="D142" s="38">
        <f>'8s'!J17</f>
        <v>30</v>
      </c>
      <c r="E142" s="38">
        <f t="shared" si="36"/>
        <v>50</v>
      </c>
      <c r="F142" s="39" t="str">
        <f t="shared" si="37"/>
        <v>B</v>
      </c>
      <c r="G142" s="38">
        <f t="shared" si="38"/>
        <v>3</v>
      </c>
      <c r="H142" s="41"/>
    </row>
    <row r="143">
      <c r="A143" s="5"/>
      <c r="B143" s="38" t="s">
        <v>11</v>
      </c>
      <c r="C143" s="38">
        <f>'8t'!K17</f>
        <v>20</v>
      </c>
      <c r="D143" s="38">
        <f>'8s'!K17</f>
        <v>24</v>
      </c>
      <c r="E143" s="38">
        <f t="shared" si="36"/>
        <v>44</v>
      </c>
      <c r="F143" s="39" t="str">
        <f t="shared" si="37"/>
        <v>C</v>
      </c>
      <c r="G143" s="38">
        <f t="shared" si="38"/>
        <v>2</v>
      </c>
      <c r="H143" s="41"/>
    </row>
    <row r="144">
      <c r="A144" s="8"/>
      <c r="B144" s="37" t="s">
        <v>49</v>
      </c>
      <c r="C144" s="38">
        <f>'8t'!L17</f>
        <v>16</v>
      </c>
      <c r="D144" s="38">
        <f>'8s'!L17</f>
        <v>16</v>
      </c>
      <c r="E144" s="38">
        <f t="shared" si="36"/>
        <v>32</v>
      </c>
      <c r="F144" s="38" t="str">
        <f>IF(E144&gt;=40,"A+",
IF(E144&gt;=35,"A",
IF(E144&gt;=30,"A-",
IF(E144&gt;=25,"B",
IF(E144&gt;=20,"C",
IF(E144&gt;=16,"D","F"))))))
</f>
        <v>A-</v>
      </c>
      <c r="G144" s="38">
        <f>IF(E144&gt;=40,5,
IF(E144&gt;=35,4,
IF(E144&gt;=30,3.5,
IF(E144&gt;=25,3,
IF(E144&gt;=20,2,
IF(E144&gt;=16,1,0))))))</f>
        <v>3.5</v>
      </c>
      <c r="H144" s="12"/>
    </row>
  </sheetData>
  <mergeCells count="36">
    <mergeCell ref="C49:H49"/>
    <mergeCell ref="C61:H61"/>
    <mergeCell ref="C73:H73"/>
    <mergeCell ref="C85:H85"/>
    <mergeCell ref="C97:H97"/>
    <mergeCell ref="C109:H109"/>
    <mergeCell ref="C121:H121"/>
    <mergeCell ref="C133:H133"/>
    <mergeCell ref="C1:H1"/>
    <mergeCell ref="A2:A12"/>
    <mergeCell ref="H3:H12"/>
    <mergeCell ref="C13:H13"/>
    <mergeCell ref="A14:A24"/>
    <mergeCell ref="C25:H25"/>
    <mergeCell ref="C37:H37"/>
    <mergeCell ref="H99:H108"/>
    <mergeCell ref="H111:H120"/>
    <mergeCell ref="H123:H132"/>
    <mergeCell ref="H135:H144"/>
    <mergeCell ref="H15:H24"/>
    <mergeCell ref="H27:H36"/>
    <mergeCell ref="H39:H48"/>
    <mergeCell ref="H51:H60"/>
    <mergeCell ref="H63:H72"/>
    <mergeCell ref="H75:H84"/>
    <mergeCell ref="H87:H96"/>
    <mergeCell ref="A110:A120"/>
    <mergeCell ref="A122:A132"/>
    <mergeCell ref="A134:A144"/>
    <mergeCell ref="A26:A36"/>
    <mergeCell ref="A38:A48"/>
    <mergeCell ref="A50:A60"/>
    <mergeCell ref="A62:A72"/>
    <mergeCell ref="A74:A84"/>
    <mergeCell ref="A86:A96"/>
    <mergeCell ref="A98:A10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75"/>
    <col customWidth="1" min="2" max="2" width="22.63"/>
    <col customWidth="1" min="3" max="3" width="17.5"/>
    <col customWidth="1" min="4" max="4" width="17.0"/>
    <col customWidth="1" min="5" max="22" width="14.38"/>
  </cols>
  <sheetData>
    <row r="1" ht="26.25" customHeight="1">
      <c r="A1" s="43" t="s">
        <v>0</v>
      </c>
      <c r="B1" s="23"/>
      <c r="C1" s="23"/>
      <c r="D1" s="2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15.75" customHeight="1">
      <c r="A2" s="44" t="s">
        <v>42</v>
      </c>
      <c r="B2" s="23"/>
      <c r="C2" s="23"/>
      <c r="D2" s="24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ht="15.75" customHeight="1">
      <c r="A3" s="45" t="s">
        <v>81</v>
      </c>
      <c r="B3" s="23"/>
      <c r="C3" s="23"/>
      <c r="D3" s="24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ht="15.75" customHeight="1">
      <c r="A4" s="20" t="s">
        <v>3</v>
      </c>
      <c r="B4" s="21" t="s">
        <v>4</v>
      </c>
      <c r="C4" s="22" t="s">
        <v>13</v>
      </c>
      <c r="D4" s="2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ht="15.75" customHeight="1">
      <c r="A5" s="12"/>
      <c r="B5" s="12"/>
      <c r="C5" s="14" t="s">
        <v>38</v>
      </c>
      <c r="D5" s="14" t="s">
        <v>13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ht="15.75" customHeight="1">
      <c r="A6" s="15">
        <v>1.0</v>
      </c>
      <c r="B6" s="16" t="s">
        <v>69</v>
      </c>
      <c r="C6" s="46">
        <f>'8'!H3</f>
        <v>2.65</v>
      </c>
      <c r="D6" s="15">
        <f t="shared" ref="D6:D17" si="1">RANK(C6,$C$6:$C$17)</f>
        <v>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ht="15.75" customHeight="1">
      <c r="A7" s="15">
        <v>2.0</v>
      </c>
      <c r="B7" s="16" t="s">
        <v>70</v>
      </c>
      <c r="C7" s="46">
        <f>'8'!H15</f>
        <v>1.75</v>
      </c>
      <c r="D7" s="15">
        <f t="shared" si="1"/>
        <v>5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ht="15.75" customHeight="1">
      <c r="A8" s="15">
        <v>3.0</v>
      </c>
      <c r="B8" s="16" t="s">
        <v>71</v>
      </c>
      <c r="C8" s="46">
        <f>'8'!H27</f>
        <v>1.55</v>
      </c>
      <c r="D8" s="15">
        <f t="shared" si="1"/>
        <v>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ht="15.75" customHeight="1">
      <c r="A9" s="15">
        <v>4.0</v>
      </c>
      <c r="B9" s="16" t="s">
        <v>72</v>
      </c>
      <c r="C9" s="46">
        <f>'8'!H39</f>
        <v>2.25</v>
      </c>
      <c r="D9" s="15">
        <f t="shared" si="1"/>
        <v>2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ht="15.75" customHeight="1">
      <c r="A10" s="15">
        <v>5.0</v>
      </c>
      <c r="B10" s="52" t="s">
        <v>73</v>
      </c>
      <c r="C10" s="46">
        <f>'8'!H51</f>
        <v>1.1</v>
      </c>
      <c r="D10" s="15">
        <f t="shared" si="1"/>
        <v>8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ht="15.75" customHeight="1">
      <c r="A11" s="15">
        <v>6.0</v>
      </c>
      <c r="B11" s="16" t="s">
        <v>74</v>
      </c>
      <c r="C11" s="46">
        <f>'8'!H63</f>
        <v>1</v>
      </c>
      <c r="D11" s="15">
        <f t="shared" si="1"/>
        <v>10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ht="15.75" customHeight="1">
      <c r="A12" s="15">
        <v>7.0</v>
      </c>
      <c r="B12" s="16" t="s">
        <v>75</v>
      </c>
      <c r="C12" s="46">
        <f>'8'!H75</f>
        <v>1.1</v>
      </c>
      <c r="D12" s="15">
        <f t="shared" si="1"/>
        <v>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ht="15.75" customHeight="1">
      <c r="A13" s="15">
        <v>8.0</v>
      </c>
      <c r="B13" s="16" t="s">
        <v>76</v>
      </c>
      <c r="C13" s="46">
        <f>'8'!H87</f>
        <v>1</v>
      </c>
      <c r="D13" s="15">
        <f t="shared" si="1"/>
        <v>10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ht="15.75" customHeight="1">
      <c r="A14" s="15">
        <v>9.0</v>
      </c>
      <c r="B14" s="16" t="s">
        <v>77</v>
      </c>
      <c r="C14" s="46">
        <f>'8'!H99</f>
        <v>1.3</v>
      </c>
      <c r="D14" s="15">
        <f t="shared" si="1"/>
        <v>7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ht="15.75" customHeight="1">
      <c r="A15" s="15">
        <v>10.0</v>
      </c>
      <c r="B15" s="16" t="s">
        <v>78</v>
      </c>
      <c r="C15" s="46">
        <f>'8'!H111</f>
        <v>2</v>
      </c>
      <c r="D15" s="15">
        <f t="shared" si="1"/>
        <v>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ht="15.75" customHeight="1">
      <c r="A16" s="15">
        <v>11.0</v>
      </c>
      <c r="B16" s="16" t="s">
        <v>79</v>
      </c>
      <c r="C16" s="46">
        <f>'8'!H123</f>
        <v>0.55</v>
      </c>
      <c r="D16" s="15">
        <f t="shared" si="1"/>
        <v>12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ht="15.75" customHeight="1">
      <c r="A17" s="15">
        <v>12.0</v>
      </c>
      <c r="B17" s="16" t="s">
        <v>80</v>
      </c>
      <c r="C17" s="46">
        <f>'8'!H135</f>
        <v>1.85</v>
      </c>
      <c r="D17" s="15">
        <f t="shared" si="1"/>
        <v>4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ht="15.75" customHeight="1">
      <c r="A18" s="19"/>
      <c r="B18" s="2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ht="15.75" customHeight="1">
      <c r="A19" s="19"/>
      <c r="B19" s="27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15.75" customHeight="1">
      <c r="A20" s="19"/>
      <c r="B20" s="27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15.75" customHeight="1">
      <c r="A21" s="19"/>
      <c r="B21" s="27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15.75" customHeight="1">
      <c r="A22" s="19"/>
      <c r="B22" s="27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15.75" customHeight="1">
      <c r="A23" s="19"/>
      <c r="B23" s="27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15.75" customHeight="1">
      <c r="A24" s="19"/>
      <c r="B24" s="27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15.75" customHeight="1">
      <c r="A25" s="19"/>
      <c r="B25" s="27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15.75" customHeight="1">
      <c r="A26" s="19"/>
      <c r="B26" s="27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15.75" customHeight="1">
      <c r="A27" s="19"/>
      <c r="B27" s="27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15.75" customHeight="1">
      <c r="A28" s="19"/>
      <c r="B28" s="27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15.75" customHeight="1">
      <c r="A29" s="19"/>
      <c r="B29" s="27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15.75" customHeight="1">
      <c r="A30" s="19"/>
      <c r="B30" s="27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15.75" customHeight="1">
      <c r="A31" s="19"/>
      <c r="B31" s="27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15.75" customHeight="1">
      <c r="A32" s="19"/>
      <c r="B32" s="27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15.75" customHeight="1">
      <c r="A33" s="19"/>
      <c r="B33" s="27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5.75" customHeight="1">
      <c r="A34" s="19"/>
      <c r="B34" s="27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15.75" customHeight="1">
      <c r="A35" s="19"/>
      <c r="B35" s="2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75" customHeight="1">
      <c r="A36" s="19"/>
      <c r="B36" s="2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75" customHeight="1">
      <c r="A37" s="19"/>
      <c r="B37" s="27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5.75" customHeight="1">
      <c r="A38" s="19"/>
      <c r="B38" s="27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5.75" customHeight="1">
      <c r="A39" s="19"/>
      <c r="B39" s="27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75" customHeight="1">
      <c r="A40" s="19"/>
      <c r="B40" s="27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15.75" customHeight="1">
      <c r="A41" s="19"/>
      <c r="B41" s="27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75" customHeight="1">
      <c r="A42" s="19"/>
      <c r="B42" s="27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5.75" customHeight="1">
      <c r="A43" s="19"/>
      <c r="B43" s="27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15.75" customHeight="1">
      <c r="A44" s="19"/>
      <c r="B44" s="27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15.75" customHeight="1">
      <c r="A45" s="19"/>
      <c r="B45" s="27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5.75" customHeight="1">
      <c r="A46" s="19"/>
      <c r="B46" s="27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5.75" customHeight="1">
      <c r="A47" s="19"/>
      <c r="B47" s="27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75" customHeight="1">
      <c r="A48" s="19"/>
      <c r="B48" s="27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5.75" customHeight="1">
      <c r="A49" s="19"/>
      <c r="B49" s="27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5.75" customHeight="1">
      <c r="A50" s="19"/>
      <c r="B50" s="27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75" customHeight="1">
      <c r="A51" s="19"/>
      <c r="B51" s="27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75" customHeight="1">
      <c r="A52" s="19"/>
      <c r="B52" s="27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15.75" customHeight="1">
      <c r="A53" s="19"/>
      <c r="B53" s="27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15.75" customHeight="1">
      <c r="A54" s="19"/>
      <c r="B54" s="27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15.75" customHeight="1">
      <c r="A55" s="19"/>
      <c r="B55" s="27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15.75" customHeight="1">
      <c r="A56" s="19"/>
      <c r="B56" s="27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15.75" customHeight="1">
      <c r="A57" s="19"/>
      <c r="B57" s="27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15.75" customHeight="1">
      <c r="A58" s="19"/>
      <c r="B58" s="27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15.75" customHeight="1">
      <c r="A59" s="19"/>
      <c r="B59" s="27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75" customHeight="1">
      <c r="A60" s="19"/>
      <c r="B60" s="27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75" customHeight="1">
      <c r="A61" s="19"/>
      <c r="B61" s="27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15.75" customHeight="1">
      <c r="A62" s="19"/>
      <c r="B62" s="27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5.75" customHeight="1">
      <c r="A63" s="19"/>
      <c r="B63" s="27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5.75" customHeight="1">
      <c r="A64" s="19"/>
      <c r="B64" s="27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15.75" customHeight="1">
      <c r="A65" s="19"/>
      <c r="B65" s="27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15.75" customHeight="1">
      <c r="A66" s="19"/>
      <c r="B66" s="27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5.75" customHeight="1">
      <c r="A67" s="19"/>
      <c r="B67" s="27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75" customHeight="1">
      <c r="A68" s="19"/>
      <c r="B68" s="27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75" customHeight="1">
      <c r="A69" s="19"/>
      <c r="B69" s="27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5.75" customHeight="1">
      <c r="A70" s="19"/>
      <c r="B70" s="27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5.75" customHeight="1">
      <c r="A71" s="19"/>
      <c r="B71" s="27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5.75" customHeight="1">
      <c r="A72" s="19"/>
      <c r="B72" s="27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5.75" customHeight="1">
      <c r="A73" s="19"/>
      <c r="B73" s="27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5.75" customHeight="1">
      <c r="A74" s="19"/>
      <c r="B74" s="27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5.75" customHeight="1">
      <c r="A75" s="19"/>
      <c r="B75" s="27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5.75" customHeight="1">
      <c r="A76" s="19"/>
      <c r="B76" s="27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5.75" customHeight="1">
      <c r="A77" s="19"/>
      <c r="B77" s="27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75" customHeight="1">
      <c r="A78" s="19"/>
      <c r="B78" s="27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5.75" customHeight="1">
      <c r="A79" s="19"/>
      <c r="B79" s="27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5.75" customHeight="1">
      <c r="A80" s="19"/>
      <c r="B80" s="27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5.75" customHeight="1">
      <c r="A81" s="19"/>
      <c r="B81" s="27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15.75" customHeight="1">
      <c r="A82" s="19"/>
      <c r="B82" s="27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15.75" customHeight="1">
      <c r="A83" s="19"/>
      <c r="B83" s="27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15.75" customHeight="1">
      <c r="A84" s="19"/>
      <c r="B84" s="27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15.75" customHeight="1">
      <c r="A85" s="19"/>
      <c r="B85" s="27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5.75" customHeight="1">
      <c r="A86" s="19"/>
      <c r="B86" s="27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15.75" customHeight="1">
      <c r="A87" s="19"/>
      <c r="B87" s="27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15.75" customHeight="1">
      <c r="A88" s="19"/>
      <c r="B88" s="27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15.75" customHeight="1">
      <c r="A89" s="19"/>
      <c r="B89" s="27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15.75" customHeight="1">
      <c r="A90" s="19"/>
      <c r="B90" s="27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5.75" customHeight="1">
      <c r="A91" s="19"/>
      <c r="B91" s="27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15.75" customHeight="1">
      <c r="A92" s="19"/>
      <c r="B92" s="27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15.75" customHeight="1">
      <c r="A93" s="19"/>
      <c r="B93" s="27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75" customHeight="1">
      <c r="A94" s="19"/>
      <c r="B94" s="27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75" customHeight="1">
      <c r="A95" s="19"/>
      <c r="B95" s="27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5.75" customHeight="1">
      <c r="A96" s="19"/>
      <c r="B96" s="27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5.75" customHeight="1">
      <c r="A97" s="19"/>
      <c r="B97" s="27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5.75" customHeight="1">
      <c r="A98" s="19"/>
      <c r="B98" s="27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5.75" customHeight="1">
      <c r="A99" s="19"/>
      <c r="B99" s="27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5.75" customHeight="1">
      <c r="A100" s="19"/>
      <c r="B100" s="27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75" customHeight="1">
      <c r="A101" s="19"/>
      <c r="B101" s="27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5.75" customHeight="1">
      <c r="A102" s="19"/>
      <c r="B102" s="27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15.75" customHeight="1">
      <c r="A103" s="19"/>
      <c r="B103" s="27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5.75" customHeight="1">
      <c r="A104" s="19"/>
      <c r="B104" s="27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15.75" customHeight="1">
      <c r="A105" s="19"/>
      <c r="B105" s="27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15.75" customHeight="1">
      <c r="A106" s="19"/>
      <c r="B106" s="27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15.75" customHeight="1">
      <c r="A107" s="19"/>
      <c r="B107" s="27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15.75" customHeight="1">
      <c r="A108" s="19"/>
      <c r="B108" s="27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15.75" customHeight="1">
      <c r="A109" s="19"/>
      <c r="B109" s="27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15.75" customHeight="1">
      <c r="A110" s="19"/>
      <c r="B110" s="27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15.75" customHeight="1">
      <c r="A111" s="19"/>
      <c r="B111" s="27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15.75" customHeight="1">
      <c r="A112" s="19"/>
      <c r="B112" s="27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75" customHeight="1">
      <c r="A113" s="19"/>
      <c r="B113" s="27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15.75" customHeight="1">
      <c r="A114" s="19"/>
      <c r="B114" s="27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15.75" customHeight="1">
      <c r="A115" s="19"/>
      <c r="B115" s="27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15.75" customHeight="1">
      <c r="A116" s="19"/>
      <c r="B116" s="27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15.75" customHeight="1">
      <c r="A117" s="19"/>
      <c r="B117" s="27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5.75" customHeight="1">
      <c r="A118" s="19"/>
      <c r="B118" s="27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15.75" customHeight="1">
      <c r="A119" s="19"/>
      <c r="B119" s="27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5.75" customHeight="1">
      <c r="A120" s="19"/>
      <c r="B120" s="27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5.75" customHeight="1">
      <c r="A121" s="19"/>
      <c r="B121" s="27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15.75" customHeight="1">
      <c r="A122" s="19"/>
      <c r="B122" s="27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15.75" customHeight="1">
      <c r="A123" s="19"/>
      <c r="B123" s="27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15.75" customHeight="1">
      <c r="A124" s="19"/>
      <c r="B124" s="27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15.75" customHeight="1">
      <c r="A125" s="19"/>
      <c r="B125" s="27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5.75" customHeight="1">
      <c r="A126" s="19"/>
      <c r="B126" s="27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5.75" customHeight="1">
      <c r="A127" s="19"/>
      <c r="B127" s="27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15.75" customHeight="1">
      <c r="A128" s="19"/>
      <c r="B128" s="27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5.75" customHeight="1">
      <c r="A129" s="19"/>
      <c r="B129" s="27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5.75" customHeight="1">
      <c r="A130" s="19"/>
      <c r="B130" s="27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15.75" customHeight="1">
      <c r="A131" s="19"/>
      <c r="B131" s="27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15.75" customHeight="1">
      <c r="A132" s="19"/>
      <c r="B132" s="27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15.75" customHeight="1">
      <c r="A133" s="19"/>
      <c r="B133" s="27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5.75" customHeight="1">
      <c r="A134" s="19"/>
      <c r="B134" s="27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15.75" customHeight="1">
      <c r="A135" s="19"/>
      <c r="B135" s="27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15.75" customHeight="1">
      <c r="A136" s="19"/>
      <c r="B136" s="27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15.75" customHeight="1">
      <c r="A137" s="19"/>
      <c r="B137" s="27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5.75" customHeight="1">
      <c r="A138" s="19"/>
      <c r="B138" s="27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15.75" customHeight="1">
      <c r="A139" s="19"/>
      <c r="B139" s="27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15.75" customHeight="1">
      <c r="A140" s="19"/>
      <c r="B140" s="27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15.75" customHeight="1">
      <c r="A141" s="19"/>
      <c r="B141" s="27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15.75" customHeight="1">
      <c r="A142" s="19"/>
      <c r="B142" s="27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15.75" customHeight="1">
      <c r="A143" s="19"/>
      <c r="B143" s="27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5.75" customHeight="1">
      <c r="A144" s="19"/>
      <c r="B144" s="27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15.75" customHeight="1">
      <c r="A145" s="19"/>
      <c r="B145" s="27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15.75" customHeight="1">
      <c r="A146" s="19"/>
      <c r="B146" s="27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15.75" customHeight="1">
      <c r="A147" s="19"/>
      <c r="B147" s="27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15.75" customHeight="1">
      <c r="A148" s="19"/>
      <c r="B148" s="27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15.75" customHeight="1">
      <c r="A149" s="19"/>
      <c r="B149" s="27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15.75" customHeight="1">
      <c r="A150" s="19"/>
      <c r="B150" s="27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15.75" customHeight="1">
      <c r="A151" s="19"/>
      <c r="B151" s="27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15.75" customHeight="1">
      <c r="A152" s="19"/>
      <c r="B152" s="27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15.75" customHeight="1">
      <c r="A153" s="19"/>
      <c r="B153" s="27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15.75" customHeight="1">
      <c r="A154" s="19"/>
      <c r="B154" s="27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15.75" customHeight="1">
      <c r="A155" s="19"/>
      <c r="B155" s="27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15.75" customHeight="1">
      <c r="A156" s="19"/>
      <c r="B156" s="27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15.75" customHeight="1">
      <c r="A157" s="19"/>
      <c r="B157" s="27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15.75" customHeight="1">
      <c r="A158" s="19"/>
      <c r="B158" s="27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15.75" customHeight="1">
      <c r="A159" s="19"/>
      <c r="B159" s="27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15.75" customHeight="1">
      <c r="A160" s="19"/>
      <c r="B160" s="27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15.75" customHeight="1">
      <c r="A161" s="19"/>
      <c r="B161" s="27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15.75" customHeight="1">
      <c r="A162" s="19"/>
      <c r="B162" s="27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15.75" customHeight="1">
      <c r="A163" s="19"/>
      <c r="B163" s="27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15.75" customHeight="1">
      <c r="A164" s="19"/>
      <c r="B164" s="27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15.75" customHeight="1">
      <c r="A165" s="19"/>
      <c r="B165" s="27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15.75" customHeight="1">
      <c r="A166" s="19"/>
      <c r="B166" s="27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15.75" customHeight="1">
      <c r="A167" s="19"/>
      <c r="B167" s="27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15.75" customHeight="1">
      <c r="A168" s="19"/>
      <c r="B168" s="27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15.75" customHeight="1">
      <c r="A169" s="19"/>
      <c r="B169" s="27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15.75" customHeight="1">
      <c r="A170" s="19"/>
      <c r="B170" s="27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15.75" customHeight="1">
      <c r="A171" s="19"/>
      <c r="B171" s="27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15.75" customHeight="1">
      <c r="A172" s="19"/>
      <c r="B172" s="27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15.75" customHeight="1">
      <c r="A173" s="19"/>
      <c r="B173" s="27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15.75" customHeight="1">
      <c r="A174" s="19"/>
      <c r="B174" s="27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15.75" customHeight="1">
      <c r="A175" s="19"/>
      <c r="B175" s="27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15.75" customHeight="1">
      <c r="A176" s="19"/>
      <c r="B176" s="27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15.75" customHeight="1">
      <c r="A177" s="19"/>
      <c r="B177" s="27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15.75" customHeight="1">
      <c r="A178" s="19"/>
      <c r="B178" s="27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15.75" customHeight="1">
      <c r="A179" s="19"/>
      <c r="B179" s="27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15.75" customHeight="1">
      <c r="A180" s="19"/>
      <c r="B180" s="27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15.75" customHeight="1">
      <c r="A181" s="19"/>
      <c r="B181" s="27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15.75" customHeight="1">
      <c r="A182" s="19"/>
      <c r="B182" s="27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15.75" customHeight="1">
      <c r="A183" s="19"/>
      <c r="B183" s="27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15.75" customHeight="1">
      <c r="A184" s="19"/>
      <c r="B184" s="27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15.75" customHeight="1">
      <c r="A185" s="19"/>
      <c r="B185" s="27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15.75" customHeight="1">
      <c r="A186" s="19"/>
      <c r="B186" s="27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15.75" customHeight="1">
      <c r="A187" s="19"/>
      <c r="B187" s="27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15.75" customHeight="1">
      <c r="A188" s="19"/>
      <c r="B188" s="27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15.75" customHeight="1">
      <c r="A189" s="19"/>
      <c r="B189" s="27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15.75" customHeight="1">
      <c r="A190" s="19"/>
      <c r="B190" s="27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15.75" customHeight="1">
      <c r="A191" s="19"/>
      <c r="B191" s="27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15.75" customHeight="1">
      <c r="A192" s="19"/>
      <c r="B192" s="27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15.75" customHeight="1">
      <c r="A193" s="19"/>
      <c r="B193" s="27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15.75" customHeight="1">
      <c r="A194" s="19"/>
      <c r="B194" s="27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15.75" customHeight="1">
      <c r="A195" s="19"/>
      <c r="B195" s="27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15.75" customHeight="1">
      <c r="A196" s="19"/>
      <c r="B196" s="27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15.75" customHeight="1">
      <c r="A197" s="19"/>
      <c r="B197" s="27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15.75" customHeight="1">
      <c r="A198" s="19"/>
      <c r="B198" s="27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15.75" customHeight="1">
      <c r="A199" s="19"/>
      <c r="B199" s="27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15.75" customHeight="1">
      <c r="A200" s="19"/>
      <c r="B200" s="27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15.75" customHeight="1">
      <c r="A201" s="19"/>
      <c r="B201" s="27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15.75" customHeight="1">
      <c r="A202" s="19"/>
      <c r="B202" s="27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15.75" customHeight="1">
      <c r="A203" s="19"/>
      <c r="B203" s="27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15.75" customHeight="1">
      <c r="A204" s="19"/>
      <c r="B204" s="27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15.75" customHeight="1">
      <c r="A205" s="19"/>
      <c r="B205" s="27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15.75" customHeight="1">
      <c r="A206" s="19"/>
      <c r="B206" s="27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15.75" customHeight="1">
      <c r="A207" s="19"/>
      <c r="B207" s="27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15.75" customHeight="1">
      <c r="A208" s="19"/>
      <c r="B208" s="27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15.75" customHeight="1">
      <c r="A209" s="19"/>
      <c r="B209" s="27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15.75" customHeight="1">
      <c r="A210" s="28"/>
      <c r="B210" s="2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ht="15.75" customHeight="1">
      <c r="A211" s="28"/>
      <c r="B211" s="2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ht="15.75" customHeight="1">
      <c r="A212" s="28"/>
      <c r="B212" s="2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ht="15.75" customHeight="1">
      <c r="A213" s="28"/>
      <c r="B213" s="2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ht="15.75" customHeight="1">
      <c r="A214" s="28"/>
      <c r="B214" s="2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ht="15.75" customHeight="1">
      <c r="A215" s="28"/>
      <c r="B215" s="2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ht="15.75" customHeight="1">
      <c r="A216" s="28"/>
      <c r="B216" s="2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ht="15.75" customHeight="1">
      <c r="A217" s="28"/>
      <c r="B217" s="2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ht="15.75" customHeight="1">
      <c r="A218" s="28"/>
      <c r="B218" s="2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ht="15.75" customHeight="1">
      <c r="A219" s="28"/>
      <c r="B219" s="2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ht="15.75" customHeight="1">
      <c r="A220" s="28"/>
      <c r="B220" s="2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 ht="15.75" customHeight="1">
      <c r="A221" s="28"/>
      <c r="B221" s="2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 ht="15.75" customHeight="1">
      <c r="A222" s="28"/>
      <c r="B222" s="2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ht="15.75" customHeight="1">
      <c r="A223" s="28"/>
      <c r="B223" s="2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 ht="15.75" customHeight="1">
      <c r="A224" s="28"/>
      <c r="B224" s="2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 ht="15.75" customHeight="1">
      <c r="A225" s="28"/>
      <c r="B225" s="2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 ht="15.75" customHeight="1">
      <c r="A226" s="28"/>
      <c r="B226" s="2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 ht="15.75" customHeight="1">
      <c r="A227" s="28"/>
      <c r="B227" s="2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 ht="15.75" customHeight="1">
      <c r="A228" s="28"/>
      <c r="B228" s="2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 ht="15.75" customHeight="1">
      <c r="A229" s="28"/>
      <c r="B229" s="2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 ht="15.75" customHeight="1">
      <c r="A230" s="28"/>
      <c r="B230" s="2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 ht="15.75" customHeight="1">
      <c r="A231" s="28"/>
      <c r="B231" s="2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 ht="15.75" customHeight="1">
      <c r="A232" s="28"/>
      <c r="B232" s="2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 ht="15.75" customHeight="1">
      <c r="A233" s="28"/>
      <c r="B233" s="2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 ht="15.75" customHeight="1">
      <c r="A234" s="28"/>
      <c r="B234" s="2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 ht="15.75" customHeight="1">
      <c r="A235" s="28"/>
      <c r="B235" s="2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 ht="15.75" customHeight="1">
      <c r="A236" s="28"/>
      <c r="B236" s="2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 ht="15.75" customHeight="1">
      <c r="A237" s="28"/>
      <c r="B237" s="2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 ht="15.75" customHeight="1">
      <c r="A238" s="28"/>
      <c r="B238" s="2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 ht="15.75" customHeight="1">
      <c r="A239" s="28"/>
      <c r="B239" s="2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 ht="15.75" customHeight="1">
      <c r="A240" s="28"/>
      <c r="B240" s="2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 ht="15.75" customHeight="1">
      <c r="A241" s="28"/>
      <c r="B241" s="2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 ht="15.75" customHeight="1">
      <c r="A242" s="28"/>
      <c r="B242" s="2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 ht="15.75" customHeight="1">
      <c r="A243" s="28"/>
      <c r="B243" s="2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 ht="15.75" customHeight="1">
      <c r="A244" s="28"/>
      <c r="B244" s="2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 ht="15.75" customHeight="1">
      <c r="A245" s="28"/>
      <c r="B245" s="2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 ht="15.75" customHeight="1">
      <c r="A246" s="28"/>
      <c r="B246" s="2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 ht="15.75" customHeight="1">
      <c r="A247" s="28"/>
      <c r="B247" s="2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 ht="15.75" customHeight="1">
      <c r="A248" s="28"/>
      <c r="B248" s="2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 ht="15.75" customHeight="1">
      <c r="A249" s="28"/>
      <c r="B249" s="2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 ht="15.75" customHeight="1">
      <c r="A250" s="28"/>
      <c r="B250" s="2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 ht="15.75" customHeight="1">
      <c r="A251" s="28"/>
      <c r="B251" s="2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 ht="15.75" customHeight="1">
      <c r="A252" s="28"/>
      <c r="B252" s="2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 ht="15.75" customHeight="1">
      <c r="A253" s="28"/>
      <c r="B253" s="2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 ht="15.75" customHeight="1">
      <c r="A254" s="28"/>
      <c r="B254" s="2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 ht="15.75" customHeight="1">
      <c r="A255" s="28"/>
      <c r="B255" s="2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 ht="15.75" customHeight="1">
      <c r="A256" s="28"/>
      <c r="B256" s="2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 ht="15.75" customHeight="1">
      <c r="A257" s="28"/>
      <c r="B257" s="2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 ht="15.75" customHeight="1">
      <c r="A258" s="28"/>
      <c r="B258" s="2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 ht="15.75" customHeight="1">
      <c r="A259" s="28"/>
      <c r="B259" s="2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 ht="15.75" customHeight="1">
      <c r="A260" s="28"/>
      <c r="B260" s="2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 ht="15.75" customHeight="1">
      <c r="A261" s="28"/>
      <c r="B261" s="2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 ht="15.75" customHeight="1">
      <c r="A262" s="28"/>
      <c r="B262" s="2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 ht="15.75" customHeight="1">
      <c r="A263" s="28"/>
      <c r="B263" s="2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 ht="15.75" customHeight="1">
      <c r="A264" s="28"/>
      <c r="B264" s="2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 ht="15.75" customHeight="1">
      <c r="A265" s="28"/>
      <c r="B265" s="2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 ht="15.75" customHeight="1">
      <c r="A266" s="28"/>
      <c r="B266" s="2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 ht="15.75" customHeight="1">
      <c r="A267" s="28"/>
      <c r="B267" s="2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 ht="15.75" customHeight="1">
      <c r="A268" s="28"/>
      <c r="B268" s="2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 ht="15.75" customHeight="1">
      <c r="A269" s="28"/>
      <c r="B269" s="2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 ht="15.75" customHeight="1">
      <c r="A270" s="28"/>
      <c r="B270" s="2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 ht="15.75" customHeight="1">
      <c r="A271" s="28"/>
      <c r="B271" s="2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 ht="15.75" customHeight="1">
      <c r="A272" s="28"/>
      <c r="B272" s="2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 ht="15.75" customHeight="1">
      <c r="A273" s="28"/>
      <c r="B273" s="2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 ht="15.75" customHeight="1">
      <c r="A274" s="28"/>
      <c r="B274" s="2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 ht="15.75" customHeight="1">
      <c r="A275" s="28"/>
      <c r="B275" s="2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 ht="15.75" customHeight="1">
      <c r="A276" s="28"/>
      <c r="B276" s="2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 ht="15.75" customHeight="1">
      <c r="A277" s="28"/>
      <c r="B277" s="2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 ht="15.75" customHeight="1">
      <c r="A278" s="28"/>
      <c r="B278" s="2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 ht="15.75" customHeight="1">
      <c r="A279" s="28"/>
      <c r="B279" s="2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 ht="15.75" customHeight="1">
      <c r="A280" s="28"/>
      <c r="B280" s="2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 ht="15.75" customHeight="1">
      <c r="A281" s="28"/>
      <c r="B281" s="2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 ht="15.75" customHeight="1">
      <c r="A282" s="28"/>
      <c r="B282" s="2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 ht="15.75" customHeight="1">
      <c r="A283" s="28"/>
      <c r="B283" s="2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 ht="15.75" customHeight="1">
      <c r="A284" s="28"/>
      <c r="B284" s="2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 ht="15.75" customHeight="1">
      <c r="A285" s="28"/>
      <c r="B285" s="2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 ht="15.75" customHeight="1">
      <c r="A286" s="28"/>
      <c r="B286" s="2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 ht="15.75" customHeight="1">
      <c r="A287" s="28"/>
      <c r="B287" s="2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 ht="15.75" customHeight="1">
      <c r="A288" s="28"/>
      <c r="B288" s="2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 ht="15.75" customHeight="1">
      <c r="A289" s="28"/>
      <c r="B289" s="2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 ht="15.75" customHeight="1">
      <c r="A290" s="28"/>
      <c r="B290" s="2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 ht="15.75" customHeight="1">
      <c r="A291" s="28"/>
      <c r="B291" s="2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 ht="15.75" customHeight="1">
      <c r="A292" s="28"/>
      <c r="B292" s="2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 ht="15.75" customHeight="1">
      <c r="A293" s="28"/>
      <c r="B293" s="2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 ht="15.75" customHeight="1">
      <c r="A294" s="28"/>
      <c r="B294" s="2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 ht="15.75" customHeight="1">
      <c r="A295" s="28"/>
      <c r="B295" s="2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 ht="15.75" customHeight="1">
      <c r="A296" s="28"/>
      <c r="B296" s="2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 ht="15.75" customHeight="1">
      <c r="A297" s="28"/>
      <c r="B297" s="2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 ht="15.75" customHeight="1">
      <c r="A298" s="28"/>
      <c r="B298" s="2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 ht="15.75" customHeight="1">
      <c r="A299" s="28"/>
      <c r="B299" s="2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 ht="15.75" customHeight="1">
      <c r="A300" s="28"/>
      <c r="B300" s="2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 ht="15.75" customHeight="1">
      <c r="A301" s="28"/>
      <c r="B301" s="2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 ht="15.75" customHeight="1">
      <c r="A302" s="28"/>
      <c r="B302" s="2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 ht="15.75" customHeight="1">
      <c r="A303" s="28"/>
      <c r="B303" s="2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 ht="15.75" customHeight="1">
      <c r="A304" s="28"/>
      <c r="B304" s="2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 ht="15.75" customHeight="1">
      <c r="A305" s="28"/>
      <c r="B305" s="2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 ht="15.75" customHeight="1">
      <c r="A306" s="28"/>
      <c r="B306" s="2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 ht="15.75" customHeight="1">
      <c r="A307" s="28"/>
      <c r="B307" s="2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 ht="15.75" customHeight="1">
      <c r="A308" s="28"/>
      <c r="B308" s="2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 ht="15.75" customHeight="1">
      <c r="A309" s="28"/>
      <c r="B309" s="2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 ht="15.75" customHeight="1">
      <c r="A310" s="28"/>
      <c r="B310" s="2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 ht="15.75" customHeight="1">
      <c r="A311" s="28"/>
      <c r="B311" s="29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 ht="15.75" customHeight="1">
      <c r="A312" s="28"/>
      <c r="B312" s="29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 ht="15.75" customHeight="1">
      <c r="A313" s="28"/>
      <c r="B313" s="29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 ht="15.75" customHeight="1">
      <c r="A314" s="28"/>
      <c r="B314" s="29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 ht="15.75" customHeight="1">
      <c r="A315" s="28"/>
      <c r="B315" s="29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 ht="15.75" customHeight="1">
      <c r="A316" s="28"/>
      <c r="B316" s="29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 ht="15.75" customHeight="1">
      <c r="A317" s="28"/>
      <c r="B317" s="29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 ht="15.75" customHeight="1">
      <c r="A318" s="28"/>
      <c r="B318" s="29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 ht="15.75" customHeight="1">
      <c r="A319" s="28"/>
      <c r="B319" s="29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 ht="15.75" customHeight="1">
      <c r="A320" s="28"/>
      <c r="B320" s="29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 ht="15.75" customHeight="1">
      <c r="A321" s="28"/>
      <c r="B321" s="29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 ht="15.75" customHeight="1">
      <c r="A322" s="28"/>
      <c r="B322" s="29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 ht="15.75" customHeight="1">
      <c r="A323" s="28"/>
      <c r="B323" s="29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 ht="15.75" customHeight="1">
      <c r="A324" s="28"/>
      <c r="B324" s="29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 ht="15.75" customHeight="1">
      <c r="A325" s="28"/>
      <c r="B325" s="29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 ht="15.75" customHeight="1">
      <c r="A326" s="28"/>
      <c r="B326" s="29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 ht="15.75" customHeight="1">
      <c r="A327" s="28"/>
      <c r="B327" s="29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 ht="15.75" customHeight="1">
      <c r="A328" s="28"/>
      <c r="B328" s="29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 ht="15.75" customHeight="1">
      <c r="A329" s="28"/>
      <c r="B329" s="29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 ht="15.75" customHeight="1">
      <c r="A330" s="28"/>
      <c r="B330" s="29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 ht="15.75" customHeight="1">
      <c r="A331" s="28"/>
      <c r="B331" s="29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 ht="15.75" customHeight="1">
      <c r="A332" s="28"/>
      <c r="B332" s="29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 ht="15.75" customHeight="1">
      <c r="A333" s="28"/>
      <c r="B333" s="29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ht="15.75" customHeight="1">
      <c r="A334" s="28"/>
      <c r="B334" s="29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 ht="15.75" customHeight="1">
      <c r="A335" s="28"/>
      <c r="B335" s="29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 ht="15.75" customHeight="1">
      <c r="A336" s="28"/>
      <c r="B336" s="29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 ht="15.75" customHeight="1">
      <c r="A337" s="28"/>
      <c r="B337" s="29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 ht="15.75" customHeight="1">
      <c r="A338" s="28"/>
      <c r="B338" s="29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 ht="15.75" customHeight="1">
      <c r="A339" s="28"/>
      <c r="B339" s="29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 ht="15.75" customHeight="1">
      <c r="A340" s="28"/>
      <c r="B340" s="29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 ht="15.75" customHeight="1">
      <c r="A341" s="28"/>
      <c r="B341" s="29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 ht="15.75" customHeight="1">
      <c r="A342" s="28"/>
      <c r="B342" s="29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ht="15.75" customHeight="1">
      <c r="A343" s="28"/>
      <c r="B343" s="29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 ht="15.75" customHeight="1">
      <c r="A344" s="28"/>
      <c r="B344" s="29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 ht="15.75" customHeight="1">
      <c r="A345" s="28"/>
      <c r="B345" s="29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 ht="15.75" customHeight="1">
      <c r="A346" s="28"/>
      <c r="B346" s="29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 ht="15.75" customHeight="1">
      <c r="A347" s="28"/>
      <c r="B347" s="29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 ht="15.75" customHeight="1">
      <c r="A348" s="28"/>
      <c r="B348" s="29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 ht="15.75" customHeight="1">
      <c r="A349" s="28"/>
      <c r="B349" s="29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 ht="15.75" customHeight="1">
      <c r="A350" s="28"/>
      <c r="B350" s="29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 ht="15.75" customHeight="1">
      <c r="A351" s="28"/>
      <c r="B351" s="29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ht="15.75" customHeight="1">
      <c r="A352" s="28"/>
      <c r="B352" s="29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 ht="15.75" customHeight="1">
      <c r="A353" s="28"/>
      <c r="B353" s="29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 ht="15.75" customHeight="1">
      <c r="A354" s="28"/>
      <c r="B354" s="29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 ht="15.75" customHeight="1">
      <c r="A355" s="28"/>
      <c r="B355" s="29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 ht="15.75" customHeight="1">
      <c r="A356" s="28"/>
      <c r="B356" s="29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 ht="15.75" customHeight="1">
      <c r="A357" s="28"/>
      <c r="B357" s="29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 ht="15.75" customHeight="1">
      <c r="A358" s="28"/>
      <c r="B358" s="29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 ht="15.75" customHeight="1">
      <c r="A359" s="28"/>
      <c r="B359" s="29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 ht="15.75" customHeight="1">
      <c r="A360" s="28"/>
      <c r="B360" s="29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 ht="15.75" customHeight="1">
      <c r="A361" s="28"/>
      <c r="B361" s="29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 ht="15.75" customHeight="1">
      <c r="A362" s="28"/>
      <c r="B362" s="29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 ht="15.75" customHeight="1">
      <c r="A363" s="28"/>
      <c r="B363" s="29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ht="15.75" customHeight="1">
      <c r="A364" s="28"/>
      <c r="B364" s="29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 ht="15.75" customHeight="1">
      <c r="A365" s="28"/>
      <c r="B365" s="29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 ht="15.75" customHeight="1">
      <c r="A366" s="28"/>
      <c r="B366" s="29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 ht="15.75" customHeight="1">
      <c r="A367" s="28"/>
      <c r="B367" s="29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 ht="15.75" customHeight="1">
      <c r="A368" s="28"/>
      <c r="B368" s="29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 ht="15.75" customHeight="1">
      <c r="A369" s="28"/>
      <c r="B369" s="29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 ht="15.75" customHeight="1">
      <c r="A370" s="28"/>
      <c r="B370" s="29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 ht="15.75" customHeight="1">
      <c r="A371" s="28"/>
      <c r="B371" s="29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 ht="15.75" customHeight="1">
      <c r="A372" s="28"/>
      <c r="B372" s="29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ht="15.75" customHeight="1">
      <c r="A373" s="28"/>
      <c r="B373" s="29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 ht="15.75" customHeight="1">
      <c r="A374" s="28"/>
      <c r="B374" s="29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 ht="15.75" customHeight="1">
      <c r="A375" s="28"/>
      <c r="B375" s="29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 ht="15.75" customHeight="1">
      <c r="A376" s="28"/>
      <c r="B376" s="29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 ht="15.75" customHeight="1">
      <c r="A377" s="28"/>
      <c r="B377" s="29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 ht="15.75" customHeight="1">
      <c r="A378" s="28"/>
      <c r="B378" s="29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 ht="15.75" customHeight="1">
      <c r="A379" s="28"/>
      <c r="B379" s="29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 ht="15.75" customHeight="1">
      <c r="A380" s="28"/>
      <c r="B380" s="29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 ht="15.75" customHeight="1">
      <c r="A381" s="28"/>
      <c r="B381" s="29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 ht="15.75" customHeight="1">
      <c r="A382" s="28"/>
      <c r="B382" s="29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 ht="15.75" customHeight="1">
      <c r="A383" s="28"/>
      <c r="B383" s="29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ht="15.75" customHeight="1">
      <c r="A384" s="28"/>
      <c r="B384" s="29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 ht="15.75" customHeight="1">
      <c r="A385" s="28"/>
      <c r="B385" s="29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 ht="15.75" customHeight="1">
      <c r="A386" s="28"/>
      <c r="B386" s="29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 ht="15.75" customHeight="1">
      <c r="A387" s="28"/>
      <c r="B387" s="29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 ht="15.75" customHeight="1">
      <c r="A388" s="28"/>
      <c r="B388" s="29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 ht="15.75" customHeight="1">
      <c r="A389" s="28"/>
      <c r="B389" s="29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 ht="15.75" customHeight="1">
      <c r="A390" s="28"/>
      <c r="B390" s="29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 ht="15.75" customHeight="1">
      <c r="A391" s="28"/>
      <c r="B391" s="29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 ht="15.75" customHeight="1">
      <c r="A392" s="28"/>
      <c r="B392" s="29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 ht="15.75" customHeight="1">
      <c r="A393" s="28"/>
      <c r="B393" s="29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ht="15.75" customHeight="1">
      <c r="A394" s="28"/>
      <c r="B394" s="29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 ht="15.75" customHeight="1">
      <c r="A395" s="28"/>
      <c r="B395" s="29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 ht="15.75" customHeight="1">
      <c r="A396" s="28"/>
      <c r="B396" s="29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 ht="15.75" customHeight="1">
      <c r="A397" s="28"/>
      <c r="B397" s="29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 ht="15.75" customHeight="1">
      <c r="A398" s="28"/>
      <c r="B398" s="29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 ht="15.75" customHeight="1">
      <c r="A399" s="28"/>
      <c r="B399" s="29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 ht="15.75" customHeight="1">
      <c r="A400" s="28"/>
      <c r="B400" s="29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 ht="15.75" customHeight="1">
      <c r="A401" s="28"/>
      <c r="B401" s="29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 ht="15.75" customHeight="1">
      <c r="A402" s="28"/>
      <c r="B402" s="29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ht="15.75" customHeight="1">
      <c r="A403" s="28"/>
      <c r="B403" s="29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 ht="15.75" customHeight="1">
      <c r="A404" s="28"/>
      <c r="B404" s="29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 ht="15.75" customHeight="1">
      <c r="A405" s="28"/>
      <c r="B405" s="29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 ht="15.75" customHeight="1">
      <c r="A406" s="28"/>
      <c r="B406" s="29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 ht="15.75" customHeight="1">
      <c r="A407" s="28"/>
      <c r="B407" s="29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 ht="15.75" customHeight="1">
      <c r="A408" s="28"/>
      <c r="B408" s="29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 ht="15.75" customHeight="1">
      <c r="A409" s="28"/>
      <c r="B409" s="29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 ht="15.75" customHeight="1">
      <c r="A410" s="28"/>
      <c r="B410" s="29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 ht="15.75" customHeight="1">
      <c r="A411" s="28"/>
      <c r="B411" s="29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 ht="15.75" customHeight="1">
      <c r="A412" s="28"/>
      <c r="B412" s="29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ht="15.75" customHeight="1">
      <c r="A413" s="28"/>
      <c r="B413" s="29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 ht="15.75" customHeight="1">
      <c r="A414" s="28"/>
      <c r="B414" s="29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 ht="15.75" customHeight="1">
      <c r="A415" s="28"/>
      <c r="B415" s="29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 ht="15.75" customHeight="1">
      <c r="A416" s="28"/>
      <c r="B416" s="29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 ht="15.75" customHeight="1">
      <c r="A417" s="28"/>
      <c r="B417" s="29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 ht="15.75" customHeight="1">
      <c r="A418" s="28"/>
      <c r="B418" s="29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 ht="15.75" customHeight="1">
      <c r="A419" s="28"/>
      <c r="B419" s="29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 ht="15.75" customHeight="1">
      <c r="A420" s="28"/>
      <c r="B420" s="29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 ht="15.75" customHeight="1">
      <c r="A421" s="28"/>
      <c r="B421" s="29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ht="15.75" customHeight="1">
      <c r="A422" s="28"/>
      <c r="B422" s="29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 ht="15.75" customHeight="1">
      <c r="A423" s="28"/>
      <c r="B423" s="29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 ht="15.75" customHeight="1">
      <c r="A424" s="28"/>
      <c r="B424" s="29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 ht="15.75" customHeight="1">
      <c r="A425" s="28"/>
      <c r="B425" s="29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 ht="15.75" customHeight="1">
      <c r="A426" s="28"/>
      <c r="B426" s="29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 ht="15.75" customHeight="1">
      <c r="A427" s="28"/>
      <c r="B427" s="29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 ht="15.75" customHeight="1">
      <c r="A428" s="28"/>
      <c r="B428" s="29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 ht="15.75" customHeight="1">
      <c r="A429" s="28"/>
      <c r="B429" s="29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 ht="15.75" customHeight="1">
      <c r="A430" s="28"/>
      <c r="B430" s="29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ht="15.75" customHeight="1">
      <c r="A431" s="28"/>
      <c r="B431" s="29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 ht="15.75" customHeight="1">
      <c r="A432" s="28"/>
      <c r="B432" s="29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 ht="15.75" customHeight="1">
      <c r="A433" s="28"/>
      <c r="B433" s="29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 ht="15.75" customHeight="1">
      <c r="A434" s="28"/>
      <c r="B434" s="29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 ht="15.75" customHeight="1">
      <c r="A435" s="28"/>
      <c r="B435" s="29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 ht="15.75" customHeight="1">
      <c r="A436" s="28"/>
      <c r="B436" s="29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 ht="15.75" customHeight="1">
      <c r="A437" s="28"/>
      <c r="B437" s="29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 ht="15.75" customHeight="1">
      <c r="A438" s="28"/>
      <c r="B438" s="29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 ht="15.75" customHeight="1">
      <c r="A439" s="28"/>
      <c r="B439" s="29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ht="15.75" customHeight="1">
      <c r="A440" s="28"/>
      <c r="B440" s="29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 ht="15.75" customHeight="1">
      <c r="A441" s="28"/>
      <c r="B441" s="29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 ht="15.75" customHeight="1">
      <c r="A442" s="28"/>
      <c r="B442" s="29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 ht="15.75" customHeight="1">
      <c r="A443" s="28"/>
      <c r="B443" s="29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 ht="15.75" customHeight="1">
      <c r="A444" s="28"/>
      <c r="B444" s="29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 ht="15.75" customHeight="1">
      <c r="A445" s="28"/>
      <c r="B445" s="29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 ht="15.75" customHeight="1">
      <c r="A446" s="28"/>
      <c r="B446" s="29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 ht="15.75" customHeight="1">
      <c r="A447" s="28"/>
      <c r="B447" s="29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 ht="15.75" customHeight="1">
      <c r="A448" s="28"/>
      <c r="B448" s="29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ht="15.75" customHeight="1">
      <c r="A449" s="28"/>
      <c r="B449" s="29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 ht="15.75" customHeight="1">
      <c r="A450" s="28"/>
      <c r="B450" s="29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 ht="15.75" customHeight="1">
      <c r="A451" s="28"/>
      <c r="B451" s="29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 ht="15.75" customHeight="1">
      <c r="A452" s="28"/>
      <c r="B452" s="29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 ht="15.75" customHeight="1">
      <c r="A453" s="28"/>
      <c r="B453" s="29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 ht="15.75" customHeight="1">
      <c r="A454" s="28"/>
      <c r="B454" s="29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 ht="15.75" customHeight="1">
      <c r="A455" s="28"/>
      <c r="B455" s="29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 ht="15.75" customHeight="1">
      <c r="A456" s="28"/>
      <c r="B456" s="29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 ht="15.75" customHeight="1">
      <c r="A457" s="28"/>
      <c r="B457" s="29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ht="15.75" customHeight="1">
      <c r="A458" s="28"/>
      <c r="B458" s="29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 ht="15.75" customHeight="1">
      <c r="A459" s="28"/>
      <c r="B459" s="29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 ht="15.75" customHeight="1">
      <c r="A460" s="28"/>
      <c r="B460" s="29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 ht="15.75" customHeight="1">
      <c r="A461" s="28"/>
      <c r="B461" s="29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 ht="15.75" customHeight="1">
      <c r="A462" s="28"/>
      <c r="B462" s="29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 ht="15.75" customHeight="1">
      <c r="A463" s="28"/>
      <c r="B463" s="29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 ht="15.75" customHeight="1">
      <c r="A464" s="28"/>
      <c r="B464" s="29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 ht="15.75" customHeight="1">
      <c r="A465" s="28"/>
      <c r="B465" s="29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 ht="15.75" customHeight="1">
      <c r="A466" s="28"/>
      <c r="B466" s="29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ht="15.75" customHeight="1">
      <c r="A467" s="28"/>
      <c r="B467" s="29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 ht="15.75" customHeight="1">
      <c r="A468" s="28"/>
      <c r="B468" s="29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 ht="15.75" customHeight="1">
      <c r="A469" s="28"/>
      <c r="B469" s="29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 ht="15.75" customHeight="1">
      <c r="A470" s="28"/>
      <c r="B470" s="29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 ht="15.75" customHeight="1">
      <c r="A471" s="28"/>
      <c r="B471" s="29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ht="15.75" customHeight="1">
      <c r="A472" s="28"/>
      <c r="B472" s="29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 ht="15.75" customHeight="1">
      <c r="A473" s="28"/>
      <c r="B473" s="29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 ht="15.75" customHeight="1">
      <c r="A474" s="28"/>
      <c r="B474" s="29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 ht="15.75" customHeight="1">
      <c r="A475" s="28"/>
      <c r="B475" s="29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ht="15.75" customHeight="1">
      <c r="A476" s="28"/>
      <c r="B476" s="29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 ht="15.75" customHeight="1">
      <c r="A477" s="28"/>
      <c r="B477" s="29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 ht="15.75" customHeight="1">
      <c r="A478" s="28"/>
      <c r="B478" s="29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 ht="15.75" customHeight="1">
      <c r="A479" s="28"/>
      <c r="B479" s="29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 ht="15.75" customHeight="1">
      <c r="A480" s="28"/>
      <c r="B480" s="29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 ht="15.75" customHeight="1">
      <c r="A481" s="28"/>
      <c r="B481" s="29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 ht="15.75" customHeight="1">
      <c r="A482" s="28"/>
      <c r="B482" s="29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 ht="15.75" customHeight="1">
      <c r="A483" s="28"/>
      <c r="B483" s="29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 ht="15.75" customHeight="1">
      <c r="A484" s="28"/>
      <c r="B484" s="29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ht="15.75" customHeight="1">
      <c r="A485" s="28"/>
      <c r="B485" s="29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 ht="15.75" customHeight="1">
      <c r="A486" s="28"/>
      <c r="B486" s="29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 ht="15.75" customHeight="1">
      <c r="A487" s="28"/>
      <c r="B487" s="29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 ht="15.75" customHeight="1">
      <c r="A488" s="28"/>
      <c r="B488" s="29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 ht="15.75" customHeight="1">
      <c r="A489" s="28"/>
      <c r="B489" s="29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 ht="15.75" customHeight="1">
      <c r="A490" s="28"/>
      <c r="B490" s="29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 ht="15.75" customHeight="1">
      <c r="A491" s="28"/>
      <c r="B491" s="29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 ht="15.75" customHeight="1">
      <c r="A492" s="28"/>
      <c r="B492" s="29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 ht="15.75" customHeight="1">
      <c r="A493" s="28"/>
      <c r="B493" s="29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ht="15.75" customHeight="1">
      <c r="A494" s="28"/>
      <c r="B494" s="29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 ht="15.75" customHeight="1">
      <c r="A495" s="28"/>
      <c r="B495" s="29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ht="15.75" customHeight="1">
      <c r="A496" s="28"/>
      <c r="B496" s="29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ht="15.75" customHeight="1">
      <c r="A497" s="28"/>
      <c r="B497" s="29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 ht="15.75" customHeight="1">
      <c r="A498" s="28"/>
      <c r="B498" s="29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 ht="15.75" customHeight="1">
      <c r="A499" s="28"/>
      <c r="B499" s="29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 ht="15.75" customHeight="1">
      <c r="A500" s="28"/>
      <c r="B500" s="2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 ht="15.75" customHeight="1">
      <c r="A501" s="28"/>
      <c r="B501" s="29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 ht="15.75" customHeight="1">
      <c r="A502" s="28"/>
      <c r="B502" s="29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 ht="15.75" customHeight="1">
      <c r="A503" s="28"/>
      <c r="B503" s="29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 ht="15.75" customHeight="1">
      <c r="A504" s="28"/>
      <c r="B504" s="29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ht="15.75" customHeight="1">
      <c r="A505" s="28"/>
      <c r="B505" s="29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 ht="15.75" customHeight="1">
      <c r="A506" s="28"/>
      <c r="B506" s="29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 ht="15.75" customHeight="1">
      <c r="A507" s="28"/>
      <c r="B507" s="29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 ht="15.75" customHeight="1">
      <c r="A508" s="28"/>
      <c r="B508" s="29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 ht="15.75" customHeight="1">
      <c r="A509" s="28"/>
      <c r="B509" s="29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 ht="15.75" customHeight="1">
      <c r="A510" s="28"/>
      <c r="B510" s="29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 ht="15.75" customHeight="1">
      <c r="A511" s="28"/>
      <c r="B511" s="29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 ht="15.75" customHeight="1">
      <c r="A512" s="28"/>
      <c r="B512" s="29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 ht="15.75" customHeight="1">
      <c r="A513" s="28"/>
      <c r="B513" s="29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ht="15.75" customHeight="1">
      <c r="A514" s="28"/>
      <c r="B514" s="29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 ht="15.75" customHeight="1">
      <c r="A515" s="28"/>
      <c r="B515" s="29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 ht="15.75" customHeight="1">
      <c r="A516" s="28"/>
      <c r="B516" s="29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 ht="15.75" customHeight="1">
      <c r="A517" s="28"/>
      <c r="B517" s="29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 ht="15.75" customHeight="1">
      <c r="A518" s="28"/>
      <c r="B518" s="29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 ht="15.75" customHeight="1">
      <c r="A519" s="28"/>
      <c r="B519" s="29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 ht="15.75" customHeight="1">
      <c r="A520" s="28"/>
      <c r="B520" s="29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 ht="15.75" customHeight="1">
      <c r="A521" s="28"/>
      <c r="B521" s="29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 ht="15.75" customHeight="1">
      <c r="A522" s="28"/>
      <c r="B522" s="29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 ht="15.75" customHeight="1">
      <c r="A523" s="28"/>
      <c r="B523" s="29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ht="15.75" customHeight="1">
      <c r="A524" s="28"/>
      <c r="B524" s="29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 ht="15.75" customHeight="1">
      <c r="A525" s="28"/>
      <c r="B525" s="29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 ht="15.75" customHeight="1">
      <c r="A526" s="28"/>
      <c r="B526" s="29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 ht="15.75" customHeight="1">
      <c r="A527" s="28"/>
      <c r="B527" s="29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 ht="15.75" customHeight="1">
      <c r="A528" s="28"/>
      <c r="B528" s="29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 ht="15.75" customHeight="1">
      <c r="A529" s="28"/>
      <c r="B529" s="29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 ht="15.75" customHeight="1">
      <c r="A530" s="28"/>
      <c r="B530" s="29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 ht="15.75" customHeight="1">
      <c r="A531" s="28"/>
      <c r="B531" s="29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 ht="15.75" customHeight="1">
      <c r="A532" s="28"/>
      <c r="B532" s="29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ht="15.75" customHeight="1">
      <c r="A533" s="28"/>
      <c r="B533" s="29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 ht="15.75" customHeight="1">
      <c r="A534" s="28"/>
      <c r="B534" s="29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 ht="15.75" customHeight="1">
      <c r="A535" s="28"/>
      <c r="B535" s="29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 ht="15.75" customHeight="1">
      <c r="A536" s="28"/>
      <c r="B536" s="29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 ht="15.75" customHeight="1">
      <c r="A537" s="28"/>
      <c r="B537" s="29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 ht="15.75" customHeight="1">
      <c r="A538" s="28"/>
      <c r="B538" s="29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 ht="15.75" customHeight="1">
      <c r="A539" s="28"/>
      <c r="B539" s="29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 ht="15.75" customHeight="1">
      <c r="A540" s="28"/>
      <c r="B540" s="29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 ht="15.75" customHeight="1">
      <c r="A541" s="28"/>
      <c r="B541" s="29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ht="15.75" customHeight="1">
      <c r="A542" s="28"/>
      <c r="B542" s="29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 ht="15.75" customHeight="1">
      <c r="A543" s="28"/>
      <c r="B543" s="29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 ht="15.75" customHeight="1">
      <c r="A544" s="28"/>
      <c r="B544" s="29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 ht="15.75" customHeight="1">
      <c r="A545" s="28"/>
      <c r="B545" s="29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 ht="15.75" customHeight="1">
      <c r="A546" s="28"/>
      <c r="B546" s="29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 ht="15.75" customHeight="1">
      <c r="A547" s="28"/>
      <c r="B547" s="29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 ht="15.75" customHeight="1">
      <c r="A548" s="28"/>
      <c r="B548" s="29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 ht="15.75" customHeight="1">
      <c r="A549" s="28"/>
      <c r="B549" s="29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 ht="15.75" customHeight="1">
      <c r="A550" s="28"/>
      <c r="B550" s="29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ht="15.75" customHeight="1">
      <c r="A551" s="28"/>
      <c r="B551" s="29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 ht="15.75" customHeight="1">
      <c r="A552" s="28"/>
      <c r="B552" s="29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 ht="15.75" customHeight="1">
      <c r="A553" s="28"/>
      <c r="B553" s="29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 ht="15.75" customHeight="1">
      <c r="A554" s="28"/>
      <c r="B554" s="29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ht="15.75" customHeight="1">
      <c r="A555" s="28"/>
      <c r="B555" s="29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ht="15.75" customHeight="1">
      <c r="A556" s="28"/>
      <c r="B556" s="29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 ht="15.75" customHeight="1">
      <c r="A557" s="28"/>
      <c r="B557" s="29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 ht="15.75" customHeight="1">
      <c r="A558" s="28"/>
      <c r="B558" s="29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 ht="15.75" customHeight="1">
      <c r="A559" s="28"/>
      <c r="B559" s="29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 ht="15.75" customHeight="1">
      <c r="A560" s="28"/>
      <c r="B560" s="29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 ht="15.75" customHeight="1">
      <c r="A561" s="28"/>
      <c r="B561" s="29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 ht="15.75" customHeight="1">
      <c r="A562" s="28"/>
      <c r="B562" s="29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ht="15.75" customHeight="1">
      <c r="A563" s="28"/>
      <c r="B563" s="29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 ht="15.75" customHeight="1">
      <c r="A564" s="28"/>
      <c r="B564" s="29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 ht="15.75" customHeight="1">
      <c r="A565" s="28"/>
      <c r="B565" s="29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 ht="15.75" customHeight="1">
      <c r="A566" s="28"/>
      <c r="B566" s="29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 ht="15.75" customHeight="1">
      <c r="A567" s="28"/>
      <c r="B567" s="29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 ht="15.75" customHeight="1">
      <c r="A568" s="28"/>
      <c r="B568" s="29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 ht="15.75" customHeight="1">
      <c r="A569" s="28"/>
      <c r="B569" s="29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 ht="15.75" customHeight="1">
      <c r="A570" s="28"/>
      <c r="B570" s="29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 ht="15.75" customHeight="1">
      <c r="A571" s="28"/>
      <c r="B571" s="29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ht="15.75" customHeight="1">
      <c r="A572" s="28"/>
      <c r="B572" s="29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 ht="15.75" customHeight="1">
      <c r="A573" s="28"/>
      <c r="B573" s="29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 ht="15.75" customHeight="1">
      <c r="A574" s="28"/>
      <c r="B574" s="29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 ht="15.75" customHeight="1">
      <c r="A575" s="28"/>
      <c r="B575" s="29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 ht="15.75" customHeight="1">
      <c r="A576" s="28"/>
      <c r="B576" s="29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 ht="15.75" customHeight="1">
      <c r="A577" s="28"/>
      <c r="B577" s="29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 ht="15.75" customHeight="1">
      <c r="A578" s="28"/>
      <c r="B578" s="29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 ht="15.75" customHeight="1">
      <c r="A579" s="28"/>
      <c r="B579" s="29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 ht="15.75" customHeight="1">
      <c r="A580" s="28"/>
      <c r="B580" s="29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 ht="15.75" customHeight="1">
      <c r="A581" s="28"/>
      <c r="B581" s="29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ht="15.75" customHeight="1">
      <c r="A582" s="28"/>
      <c r="B582" s="29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 ht="15.75" customHeight="1">
      <c r="A583" s="28"/>
      <c r="B583" s="29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 ht="15.75" customHeight="1">
      <c r="A584" s="28"/>
      <c r="B584" s="29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 ht="15.75" customHeight="1">
      <c r="A585" s="28"/>
      <c r="B585" s="29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 ht="15.75" customHeight="1">
      <c r="A586" s="28"/>
      <c r="B586" s="29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 ht="15.75" customHeight="1">
      <c r="A587" s="28"/>
      <c r="B587" s="29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 ht="15.75" customHeight="1">
      <c r="A588" s="28"/>
      <c r="B588" s="29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 ht="15.75" customHeight="1">
      <c r="A589" s="28"/>
      <c r="B589" s="29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 ht="15.75" customHeight="1">
      <c r="A590" s="28"/>
      <c r="B590" s="29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ht="15.75" customHeight="1">
      <c r="A591" s="28"/>
      <c r="B591" s="29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 ht="15.75" customHeight="1">
      <c r="A592" s="28"/>
      <c r="B592" s="29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 ht="15.75" customHeight="1">
      <c r="A593" s="28"/>
      <c r="B593" s="29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 ht="15.75" customHeight="1">
      <c r="A594" s="28"/>
      <c r="B594" s="29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 ht="15.75" customHeight="1">
      <c r="A595" s="28"/>
      <c r="B595" s="29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 ht="15.75" customHeight="1">
      <c r="A596" s="28"/>
      <c r="B596" s="29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 ht="15.75" customHeight="1">
      <c r="A597" s="28"/>
      <c r="B597" s="29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 ht="15.75" customHeight="1">
      <c r="A598" s="28"/>
      <c r="B598" s="29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 ht="15.75" customHeight="1">
      <c r="A599" s="28"/>
      <c r="B599" s="29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 ht="15.75" customHeight="1">
      <c r="A600" s="28"/>
      <c r="B600" s="29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ht="15.75" customHeight="1">
      <c r="A601" s="28"/>
      <c r="B601" s="29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 ht="15.75" customHeight="1">
      <c r="A602" s="28"/>
      <c r="B602" s="29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 ht="15.75" customHeight="1">
      <c r="A603" s="28"/>
      <c r="B603" s="29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 ht="15.75" customHeight="1">
      <c r="A604" s="28"/>
      <c r="B604" s="29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 ht="15.75" customHeight="1">
      <c r="A605" s="28"/>
      <c r="B605" s="29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ht="15.75" customHeight="1">
      <c r="A606" s="28"/>
      <c r="B606" s="29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ht="15.75" customHeight="1">
      <c r="A607" s="28"/>
      <c r="B607" s="29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 ht="15.75" customHeight="1">
      <c r="A608" s="28"/>
      <c r="B608" s="29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 ht="15.75" customHeight="1">
      <c r="A609" s="28"/>
      <c r="B609" s="29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 ht="15.75" customHeight="1">
      <c r="A610" s="28"/>
      <c r="B610" s="29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 ht="15.75" customHeight="1">
      <c r="A611" s="28"/>
      <c r="B611" s="29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ht="15.75" customHeight="1">
      <c r="A612" s="28"/>
      <c r="B612" s="29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 ht="15.75" customHeight="1">
      <c r="A613" s="28"/>
      <c r="B613" s="29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 ht="15.75" customHeight="1">
      <c r="A614" s="28"/>
      <c r="B614" s="29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 ht="15.75" customHeight="1">
      <c r="A615" s="28"/>
      <c r="B615" s="29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 ht="15.75" customHeight="1">
      <c r="A616" s="28"/>
      <c r="B616" s="29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 ht="15.75" customHeight="1">
      <c r="A617" s="28"/>
      <c r="B617" s="29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 ht="15.75" customHeight="1">
      <c r="A618" s="28"/>
      <c r="B618" s="29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 ht="15.75" customHeight="1">
      <c r="A619" s="28"/>
      <c r="B619" s="29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 ht="15.75" customHeight="1">
      <c r="A620" s="28"/>
      <c r="B620" s="29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 ht="15.75" customHeight="1">
      <c r="A621" s="28"/>
      <c r="B621" s="29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ht="15.75" customHeight="1">
      <c r="A622" s="28"/>
      <c r="B622" s="29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 ht="15.75" customHeight="1">
      <c r="A623" s="28"/>
      <c r="B623" s="29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 ht="15.75" customHeight="1">
      <c r="A624" s="28"/>
      <c r="B624" s="29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 ht="15.75" customHeight="1">
      <c r="A625" s="28"/>
      <c r="B625" s="29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 ht="15.75" customHeight="1">
      <c r="A626" s="28"/>
      <c r="B626" s="29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 ht="15.75" customHeight="1">
      <c r="A627" s="28"/>
      <c r="B627" s="29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 ht="15.75" customHeight="1">
      <c r="A628" s="28"/>
      <c r="B628" s="29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 ht="15.75" customHeight="1">
      <c r="A629" s="28"/>
      <c r="B629" s="29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 ht="15.75" customHeight="1">
      <c r="A630" s="28"/>
      <c r="B630" s="29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 ht="15.75" customHeight="1">
      <c r="A631" s="28"/>
      <c r="B631" s="29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ht="15.75" customHeight="1">
      <c r="A632" s="28"/>
      <c r="B632" s="29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 ht="15.75" customHeight="1">
      <c r="A633" s="28"/>
      <c r="B633" s="29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 ht="15.75" customHeight="1">
      <c r="A634" s="28"/>
      <c r="B634" s="29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 ht="15.75" customHeight="1">
      <c r="A635" s="28"/>
      <c r="B635" s="29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 ht="15.75" customHeight="1">
      <c r="A636" s="28"/>
      <c r="B636" s="29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 ht="15.75" customHeight="1">
      <c r="A637" s="28"/>
      <c r="B637" s="29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 ht="15.75" customHeight="1">
      <c r="A638" s="28"/>
      <c r="B638" s="29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 ht="15.75" customHeight="1">
      <c r="A639" s="28"/>
      <c r="B639" s="29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 ht="15.75" customHeight="1">
      <c r="A640" s="28"/>
      <c r="B640" s="29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ht="15.75" customHeight="1">
      <c r="A641" s="28"/>
      <c r="B641" s="29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 ht="15.75" customHeight="1">
      <c r="A642" s="28"/>
      <c r="B642" s="29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 ht="15.75" customHeight="1">
      <c r="A643" s="28"/>
      <c r="B643" s="29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 ht="15.75" customHeight="1">
      <c r="A644" s="28"/>
      <c r="B644" s="29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 ht="15.75" customHeight="1">
      <c r="A645" s="28"/>
      <c r="B645" s="29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 ht="15.75" customHeight="1">
      <c r="A646" s="28"/>
      <c r="B646" s="29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 ht="15.75" customHeight="1">
      <c r="A647" s="28"/>
      <c r="B647" s="29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 ht="15.75" customHeight="1">
      <c r="A648" s="28"/>
      <c r="B648" s="29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 ht="15.75" customHeight="1">
      <c r="A649" s="28"/>
      <c r="B649" s="29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 ht="15.75" customHeight="1">
      <c r="A650" s="28"/>
      <c r="B650" s="29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ht="15.75" customHeight="1">
      <c r="A651" s="28"/>
      <c r="B651" s="29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 ht="15.75" customHeight="1">
      <c r="A652" s="28"/>
      <c r="B652" s="29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 ht="15.75" customHeight="1">
      <c r="A653" s="28"/>
      <c r="B653" s="29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 ht="15.75" customHeight="1">
      <c r="A654" s="28"/>
      <c r="B654" s="29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 ht="15.75" customHeight="1">
      <c r="A655" s="28"/>
      <c r="B655" s="29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 ht="15.75" customHeight="1">
      <c r="A656" s="28"/>
      <c r="B656" s="29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 ht="15.75" customHeight="1">
      <c r="A657" s="28"/>
      <c r="B657" s="29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 ht="15.75" customHeight="1">
      <c r="A658" s="28"/>
      <c r="B658" s="29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 ht="15.75" customHeight="1">
      <c r="A659" s="28"/>
      <c r="B659" s="29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 ht="15.75" customHeight="1">
      <c r="A660" s="28"/>
      <c r="B660" s="29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ht="15.75" customHeight="1">
      <c r="A661" s="28"/>
      <c r="B661" s="29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 ht="15.75" customHeight="1">
      <c r="A662" s="28"/>
      <c r="B662" s="29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 ht="15.75" customHeight="1">
      <c r="A663" s="28"/>
      <c r="B663" s="29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 ht="15.75" customHeight="1">
      <c r="A664" s="28"/>
      <c r="B664" s="2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 ht="15.75" customHeight="1">
      <c r="A665" s="28"/>
      <c r="B665" s="29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 ht="15.75" customHeight="1">
      <c r="A666" s="28"/>
      <c r="B666" s="29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 ht="15.75" customHeight="1">
      <c r="A667" s="28"/>
      <c r="B667" s="29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 ht="15.75" customHeight="1">
      <c r="A668" s="28"/>
      <c r="B668" s="29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 ht="15.75" customHeight="1">
      <c r="A669" s="28"/>
      <c r="B669" s="29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 ht="15.75" customHeight="1">
      <c r="A670" s="28"/>
      <c r="B670" s="29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ht="15.75" customHeight="1">
      <c r="A671" s="28"/>
      <c r="B671" s="29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 ht="15.75" customHeight="1">
      <c r="A672" s="28"/>
      <c r="B672" s="29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 ht="15.75" customHeight="1">
      <c r="A673" s="28"/>
      <c r="B673" s="29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 ht="15.75" customHeight="1">
      <c r="A674" s="28"/>
      <c r="B674" s="29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 ht="15.75" customHeight="1">
      <c r="A675" s="28"/>
      <c r="B675" s="29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 ht="15.75" customHeight="1">
      <c r="A676" s="28"/>
      <c r="B676" s="29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 ht="15.75" customHeight="1">
      <c r="A677" s="28"/>
      <c r="B677" s="29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 ht="15.75" customHeight="1">
      <c r="A678" s="28"/>
      <c r="B678" s="29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 ht="15.75" customHeight="1">
      <c r="A679" s="28"/>
      <c r="B679" s="29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 ht="15.75" customHeight="1">
      <c r="A680" s="28"/>
      <c r="B680" s="29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ht="15.75" customHeight="1">
      <c r="A681" s="28"/>
      <c r="B681" s="29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 ht="15.75" customHeight="1">
      <c r="A682" s="28"/>
      <c r="B682" s="29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 ht="15.75" customHeight="1">
      <c r="A683" s="28"/>
      <c r="B683" s="29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 ht="15.75" customHeight="1">
      <c r="A684" s="28"/>
      <c r="B684" s="29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 ht="15.75" customHeight="1">
      <c r="A685" s="28"/>
      <c r="B685" s="29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 ht="15.75" customHeight="1">
      <c r="A686" s="28"/>
      <c r="B686" s="29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 ht="15.75" customHeight="1">
      <c r="A687" s="28"/>
      <c r="B687" s="29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 ht="15.75" customHeight="1">
      <c r="A688" s="28"/>
      <c r="B688" s="29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 ht="15.75" customHeight="1">
      <c r="A689" s="28"/>
      <c r="B689" s="29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ht="15.75" customHeight="1">
      <c r="A690" s="28"/>
      <c r="B690" s="29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 ht="15.75" customHeight="1">
      <c r="A691" s="28"/>
      <c r="B691" s="29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 ht="15.75" customHeight="1">
      <c r="A692" s="28"/>
      <c r="B692" s="29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 ht="15.75" customHeight="1">
      <c r="A693" s="28"/>
      <c r="B693" s="29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 ht="15.75" customHeight="1">
      <c r="A694" s="28"/>
      <c r="B694" s="29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 ht="15.75" customHeight="1">
      <c r="A695" s="28"/>
      <c r="B695" s="29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 ht="15.75" customHeight="1">
      <c r="A696" s="28"/>
      <c r="B696" s="29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 ht="15.75" customHeight="1">
      <c r="A697" s="28"/>
      <c r="B697" s="29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 ht="15.75" customHeight="1">
      <c r="A698" s="28"/>
      <c r="B698" s="29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 ht="15.75" customHeight="1">
      <c r="A699" s="28"/>
      <c r="B699" s="29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 ht="15.75" customHeight="1">
      <c r="A700" s="28"/>
      <c r="B700" s="29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ht="15.75" customHeight="1">
      <c r="A701" s="28"/>
      <c r="B701" s="29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 ht="15.75" customHeight="1">
      <c r="A702" s="28"/>
      <c r="B702" s="29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 ht="15.75" customHeight="1">
      <c r="A703" s="28"/>
      <c r="B703" s="29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 ht="15.75" customHeight="1">
      <c r="A704" s="28"/>
      <c r="B704" s="29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 ht="15.75" customHeight="1">
      <c r="A705" s="28"/>
      <c r="B705" s="29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 ht="15.75" customHeight="1">
      <c r="A706" s="28"/>
      <c r="B706" s="29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 ht="15.75" customHeight="1">
      <c r="A707" s="28"/>
      <c r="B707" s="29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 ht="15.75" customHeight="1">
      <c r="A708" s="28"/>
      <c r="B708" s="29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 ht="15.75" customHeight="1">
      <c r="A709" s="28"/>
      <c r="B709" s="29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 ht="15.75" customHeight="1">
      <c r="A710" s="28"/>
      <c r="B710" s="29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ht="15.75" customHeight="1">
      <c r="A711" s="28"/>
      <c r="B711" s="29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 ht="15.75" customHeight="1">
      <c r="A712" s="28"/>
      <c r="B712" s="29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 ht="15.75" customHeight="1">
      <c r="A713" s="28"/>
      <c r="B713" s="29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 ht="15.75" customHeight="1">
      <c r="A714" s="28"/>
      <c r="B714" s="29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 ht="15.75" customHeight="1">
      <c r="A715" s="28"/>
      <c r="B715" s="29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 ht="15.75" customHeight="1">
      <c r="A716" s="28"/>
      <c r="B716" s="29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 ht="15.75" customHeight="1">
      <c r="A717" s="28"/>
      <c r="B717" s="29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 ht="15.75" customHeight="1">
      <c r="A718" s="28"/>
      <c r="B718" s="29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 ht="15.75" customHeight="1">
      <c r="A719" s="28"/>
      <c r="B719" s="29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ht="15.75" customHeight="1">
      <c r="A720" s="28"/>
      <c r="B720" s="29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 ht="15.75" customHeight="1">
      <c r="A721" s="28"/>
      <c r="B721" s="29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 ht="15.75" customHeight="1">
      <c r="A722" s="28"/>
      <c r="B722" s="29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 ht="15.75" customHeight="1">
      <c r="A723" s="28"/>
      <c r="B723" s="29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 ht="15.75" customHeight="1">
      <c r="A724" s="28"/>
      <c r="B724" s="29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 ht="15.75" customHeight="1">
      <c r="A725" s="28"/>
      <c r="B725" s="29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 ht="15.75" customHeight="1">
      <c r="A726" s="28"/>
      <c r="B726" s="29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 ht="15.75" customHeight="1">
      <c r="A727" s="28"/>
      <c r="B727" s="29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 ht="15.75" customHeight="1">
      <c r="A728" s="28"/>
      <c r="B728" s="29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ht="15.75" customHeight="1">
      <c r="A729" s="28"/>
      <c r="B729" s="29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 ht="15.75" customHeight="1">
      <c r="A730" s="28"/>
      <c r="B730" s="29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 ht="15.75" customHeight="1">
      <c r="A731" s="28"/>
      <c r="B731" s="29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 ht="15.75" customHeight="1">
      <c r="A732" s="28"/>
      <c r="B732" s="29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 ht="15.75" customHeight="1">
      <c r="A733" s="28"/>
      <c r="B733" s="29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 ht="15.75" customHeight="1">
      <c r="A734" s="28"/>
      <c r="B734" s="29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 ht="15.75" customHeight="1">
      <c r="A735" s="28"/>
      <c r="B735" s="29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 ht="15.75" customHeight="1">
      <c r="A736" s="28"/>
      <c r="B736" s="29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 ht="15.75" customHeight="1">
      <c r="A737" s="28"/>
      <c r="B737" s="29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 ht="15.75" customHeight="1">
      <c r="A738" s="28"/>
      <c r="B738" s="29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ht="15.75" customHeight="1">
      <c r="A739" s="28"/>
      <c r="B739" s="29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 ht="15.75" customHeight="1">
      <c r="A740" s="28"/>
      <c r="B740" s="29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 ht="15.75" customHeight="1">
      <c r="A741" s="28"/>
      <c r="B741" s="29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 ht="15.75" customHeight="1">
      <c r="A742" s="28"/>
      <c r="B742" s="29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 ht="15.75" customHeight="1">
      <c r="A743" s="28"/>
      <c r="B743" s="29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 ht="15.75" customHeight="1">
      <c r="A744" s="28"/>
      <c r="B744" s="29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 ht="15.75" customHeight="1">
      <c r="A745" s="28"/>
      <c r="B745" s="29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 ht="15.75" customHeight="1">
      <c r="A746" s="28"/>
      <c r="B746" s="29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 ht="15.75" customHeight="1">
      <c r="A747" s="28"/>
      <c r="B747" s="29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ht="15.75" customHeight="1">
      <c r="A748" s="28"/>
      <c r="B748" s="29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 ht="15.75" customHeight="1">
      <c r="A749" s="28"/>
      <c r="B749" s="29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 ht="15.75" customHeight="1">
      <c r="A750" s="28"/>
      <c r="B750" s="29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 ht="15.75" customHeight="1">
      <c r="A751" s="28"/>
      <c r="B751" s="29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 ht="15.75" customHeight="1">
      <c r="A752" s="28"/>
      <c r="B752" s="29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 ht="15.75" customHeight="1">
      <c r="A753" s="28"/>
      <c r="B753" s="29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 ht="15.75" customHeight="1">
      <c r="A754" s="28"/>
      <c r="B754" s="29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 ht="15.75" customHeight="1">
      <c r="A755" s="28"/>
      <c r="B755" s="29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 ht="15.75" customHeight="1">
      <c r="A756" s="28"/>
      <c r="B756" s="29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ht="15.75" customHeight="1">
      <c r="A757" s="28"/>
      <c r="B757" s="29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 ht="15.75" customHeight="1">
      <c r="A758" s="28"/>
      <c r="B758" s="29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 ht="15.75" customHeight="1">
      <c r="A759" s="28"/>
      <c r="B759" s="29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 ht="15.75" customHeight="1">
      <c r="A760" s="28"/>
      <c r="B760" s="29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 ht="15.75" customHeight="1">
      <c r="A761" s="28"/>
      <c r="B761" s="29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 ht="15.75" customHeight="1">
      <c r="A762" s="28"/>
      <c r="B762" s="29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 ht="15.75" customHeight="1">
      <c r="A763" s="28"/>
      <c r="B763" s="29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 ht="15.75" customHeight="1">
      <c r="A764" s="28"/>
      <c r="B764" s="29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 ht="15.75" customHeight="1">
      <c r="A765" s="28"/>
      <c r="B765" s="29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 ht="15.75" customHeight="1">
      <c r="A766" s="28"/>
      <c r="B766" s="29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ht="15.75" customHeight="1">
      <c r="A767" s="28"/>
      <c r="B767" s="29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 ht="15.75" customHeight="1">
      <c r="A768" s="28"/>
      <c r="B768" s="29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 ht="15.75" customHeight="1">
      <c r="A769" s="28"/>
      <c r="B769" s="29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 ht="15.75" customHeight="1">
      <c r="A770" s="28"/>
      <c r="B770" s="29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 ht="15.75" customHeight="1">
      <c r="A771" s="28"/>
      <c r="B771" s="29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 ht="15.75" customHeight="1">
      <c r="A772" s="28"/>
      <c r="B772" s="29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 ht="15.75" customHeight="1">
      <c r="A773" s="28"/>
      <c r="B773" s="29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 ht="15.75" customHeight="1">
      <c r="A774" s="28"/>
      <c r="B774" s="29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 ht="15.75" customHeight="1">
      <c r="A775" s="28"/>
      <c r="B775" s="29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ht="15.75" customHeight="1">
      <c r="A776" s="28"/>
      <c r="B776" s="29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 ht="15.75" customHeight="1">
      <c r="A777" s="28"/>
      <c r="B777" s="29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 ht="15.75" customHeight="1">
      <c r="A778" s="28"/>
      <c r="B778" s="29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 ht="15.75" customHeight="1">
      <c r="A779" s="28"/>
      <c r="B779" s="29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 ht="15.75" customHeight="1">
      <c r="A780" s="28"/>
      <c r="B780" s="29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 ht="15.75" customHeight="1">
      <c r="A781" s="28"/>
      <c r="B781" s="29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 ht="15.75" customHeight="1">
      <c r="A782" s="28"/>
      <c r="B782" s="29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 ht="15.75" customHeight="1">
      <c r="A783" s="28"/>
      <c r="B783" s="29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 ht="15.75" customHeight="1">
      <c r="A784" s="28"/>
      <c r="B784" s="29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 ht="15.75" customHeight="1">
      <c r="A785" s="28"/>
      <c r="B785" s="29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ht="15.75" customHeight="1">
      <c r="A786" s="28"/>
      <c r="B786" s="29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 ht="15.75" customHeight="1">
      <c r="A787" s="28"/>
      <c r="B787" s="29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 ht="15.75" customHeight="1">
      <c r="A788" s="28"/>
      <c r="B788" s="29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 ht="15.75" customHeight="1">
      <c r="A789" s="28"/>
      <c r="B789" s="29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 ht="15.75" customHeight="1">
      <c r="A790" s="28"/>
      <c r="B790" s="29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 ht="15.75" customHeight="1">
      <c r="A791" s="28"/>
      <c r="B791" s="29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 ht="15.75" customHeight="1">
      <c r="A792" s="28"/>
      <c r="B792" s="29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 ht="15.75" customHeight="1">
      <c r="A793" s="28"/>
      <c r="B793" s="29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 ht="15.75" customHeight="1">
      <c r="A794" s="28"/>
      <c r="B794" s="29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 ht="15.75" customHeight="1">
      <c r="A795" s="28"/>
      <c r="B795" s="29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ht="15.75" customHeight="1">
      <c r="A796" s="28"/>
      <c r="B796" s="29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 ht="15.75" customHeight="1">
      <c r="A797" s="28"/>
      <c r="B797" s="29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 ht="15.75" customHeight="1">
      <c r="A798" s="28"/>
      <c r="B798" s="29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 ht="15.75" customHeight="1">
      <c r="A799" s="28"/>
      <c r="B799" s="29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 ht="15.75" customHeight="1">
      <c r="A800" s="28"/>
      <c r="B800" s="29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 ht="15.75" customHeight="1">
      <c r="A801" s="28"/>
      <c r="B801" s="29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 ht="15.75" customHeight="1">
      <c r="A802" s="28"/>
      <c r="B802" s="29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 ht="15.75" customHeight="1">
      <c r="A803" s="28"/>
      <c r="B803" s="29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 ht="15.75" customHeight="1">
      <c r="A804" s="28"/>
      <c r="B804" s="29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ht="15.75" customHeight="1">
      <c r="A805" s="28"/>
      <c r="B805" s="29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 ht="15.75" customHeight="1">
      <c r="A806" s="28"/>
      <c r="B806" s="29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 ht="15.75" customHeight="1">
      <c r="A807" s="28"/>
      <c r="B807" s="29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 ht="15.75" customHeight="1">
      <c r="A808" s="28"/>
      <c r="B808" s="29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 ht="15.75" customHeight="1">
      <c r="A809" s="28"/>
      <c r="B809" s="29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 ht="15.75" customHeight="1">
      <c r="A810" s="28"/>
      <c r="B810" s="29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 ht="15.75" customHeight="1">
      <c r="A811" s="28"/>
      <c r="B811" s="29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 ht="15.75" customHeight="1">
      <c r="A812" s="28"/>
      <c r="B812" s="29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 ht="15.75" customHeight="1">
      <c r="A813" s="28"/>
      <c r="B813" s="29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 ht="15.75" customHeight="1">
      <c r="A814" s="28"/>
      <c r="B814" s="29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 ht="15.75" customHeight="1">
      <c r="A815" s="28"/>
      <c r="B815" s="29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ht="15.75" customHeight="1">
      <c r="A816" s="28"/>
      <c r="B816" s="29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 ht="15.75" customHeight="1">
      <c r="A817" s="28"/>
      <c r="B817" s="29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 ht="15.75" customHeight="1">
      <c r="A818" s="28"/>
      <c r="B818" s="29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 ht="15.75" customHeight="1">
      <c r="A819" s="28"/>
      <c r="B819" s="29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 ht="15.75" customHeight="1">
      <c r="A820" s="28"/>
      <c r="B820" s="29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 ht="15.75" customHeight="1">
      <c r="A821" s="28"/>
      <c r="B821" s="29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 ht="15.75" customHeight="1">
      <c r="A822" s="28"/>
      <c r="B822" s="29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 ht="15.75" customHeight="1">
      <c r="A823" s="28"/>
      <c r="B823" s="29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 ht="15.75" customHeight="1">
      <c r="A824" s="28"/>
      <c r="B824" s="29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ht="15.75" customHeight="1">
      <c r="A825" s="28"/>
      <c r="B825" s="29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 ht="15.75" customHeight="1">
      <c r="A826" s="28"/>
      <c r="B826" s="29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 ht="15.75" customHeight="1">
      <c r="A827" s="28"/>
      <c r="B827" s="29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 ht="15.75" customHeight="1">
      <c r="A828" s="28"/>
      <c r="B828" s="29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 ht="15.75" customHeight="1">
      <c r="A829" s="28"/>
      <c r="B829" s="29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 ht="15.75" customHeight="1">
      <c r="A830" s="28"/>
      <c r="B830" s="29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 ht="15.75" customHeight="1">
      <c r="A831" s="28"/>
      <c r="B831" s="29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 ht="15.75" customHeight="1">
      <c r="A832" s="28"/>
      <c r="B832" s="29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 ht="15.75" customHeight="1">
      <c r="A833" s="28"/>
      <c r="B833" s="29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ht="15.75" customHeight="1">
      <c r="A834" s="28"/>
      <c r="B834" s="29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 ht="15.75" customHeight="1">
      <c r="A835" s="28"/>
      <c r="B835" s="29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 ht="15.75" customHeight="1">
      <c r="A836" s="28"/>
      <c r="B836" s="29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 ht="15.75" customHeight="1">
      <c r="A837" s="28"/>
      <c r="B837" s="29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 ht="15.75" customHeight="1">
      <c r="A838" s="28"/>
      <c r="B838" s="29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 ht="15.75" customHeight="1">
      <c r="A839" s="28"/>
      <c r="B839" s="29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 ht="15.75" customHeight="1">
      <c r="A840" s="28"/>
      <c r="B840" s="29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 ht="15.75" customHeight="1">
      <c r="A841" s="28"/>
      <c r="B841" s="29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 ht="15.75" customHeight="1">
      <c r="A842" s="28"/>
      <c r="B842" s="29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ht="15.75" customHeight="1">
      <c r="A843" s="28"/>
      <c r="B843" s="29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 ht="15.75" customHeight="1">
      <c r="A844" s="28"/>
      <c r="B844" s="29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 ht="15.75" customHeight="1">
      <c r="A845" s="28"/>
      <c r="B845" s="29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 ht="15.75" customHeight="1">
      <c r="A846" s="28"/>
      <c r="B846" s="29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 ht="15.75" customHeight="1">
      <c r="A847" s="28"/>
      <c r="B847" s="29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 ht="15.75" customHeight="1">
      <c r="A848" s="28"/>
      <c r="B848" s="29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 ht="15.75" customHeight="1">
      <c r="A849" s="28"/>
      <c r="B849" s="29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 ht="15.75" customHeight="1">
      <c r="A850" s="28"/>
      <c r="B850" s="29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 ht="15.75" customHeight="1">
      <c r="A851" s="28"/>
      <c r="B851" s="29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ht="15.75" customHeight="1">
      <c r="A852" s="28"/>
      <c r="B852" s="29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 ht="15.75" customHeight="1">
      <c r="A853" s="28"/>
      <c r="B853" s="29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 ht="15.75" customHeight="1">
      <c r="A854" s="28"/>
      <c r="B854" s="29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 ht="15.75" customHeight="1">
      <c r="A855" s="28"/>
      <c r="B855" s="29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 ht="15.75" customHeight="1">
      <c r="A856" s="28"/>
      <c r="B856" s="29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 ht="15.75" customHeight="1">
      <c r="A857" s="28"/>
      <c r="B857" s="29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 ht="15.75" customHeight="1">
      <c r="A858" s="28"/>
      <c r="B858" s="29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 ht="15.75" customHeight="1">
      <c r="A859" s="28"/>
      <c r="B859" s="29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 ht="15.75" customHeight="1">
      <c r="A860" s="28"/>
      <c r="B860" s="29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 ht="15.75" customHeight="1">
      <c r="A861" s="28"/>
      <c r="B861" s="29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ht="15.75" customHeight="1">
      <c r="A862" s="28"/>
      <c r="B862" s="29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 ht="15.75" customHeight="1">
      <c r="A863" s="28"/>
      <c r="B863" s="29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 ht="15.75" customHeight="1">
      <c r="A864" s="28"/>
      <c r="B864" s="29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 ht="15.75" customHeight="1">
      <c r="A865" s="28"/>
      <c r="B865" s="29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 ht="15.75" customHeight="1">
      <c r="A866" s="28"/>
      <c r="B866" s="29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 ht="15.75" customHeight="1">
      <c r="A867" s="28"/>
      <c r="B867" s="29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 ht="15.75" customHeight="1">
      <c r="A868" s="28"/>
      <c r="B868" s="29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 ht="15.75" customHeight="1">
      <c r="A869" s="28"/>
      <c r="B869" s="29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 ht="15.75" customHeight="1">
      <c r="A870" s="28"/>
      <c r="B870" s="29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ht="15.75" customHeight="1">
      <c r="A871" s="28"/>
      <c r="B871" s="29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 ht="15.75" customHeight="1">
      <c r="A872" s="28"/>
      <c r="B872" s="29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 ht="15.75" customHeight="1">
      <c r="A873" s="28"/>
      <c r="B873" s="29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 ht="15.75" customHeight="1">
      <c r="A874" s="28"/>
      <c r="B874" s="29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 ht="15.75" customHeight="1">
      <c r="A875" s="28"/>
      <c r="B875" s="29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 ht="15.75" customHeight="1">
      <c r="A876" s="28"/>
      <c r="B876" s="29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 ht="15.75" customHeight="1">
      <c r="A877" s="28"/>
      <c r="B877" s="29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 ht="15.75" customHeight="1">
      <c r="A878" s="28"/>
      <c r="B878" s="29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 ht="15.75" customHeight="1">
      <c r="A879" s="28"/>
      <c r="B879" s="29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 ht="15.75" customHeight="1">
      <c r="A880" s="28"/>
      <c r="B880" s="29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 ht="15.75" customHeight="1">
      <c r="A881" s="28"/>
      <c r="B881" s="29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 ht="15.75" customHeight="1">
      <c r="A882" s="28"/>
      <c r="B882" s="29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ht="15.75" customHeight="1">
      <c r="A883" s="28"/>
      <c r="B883" s="29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 ht="15.75" customHeight="1">
      <c r="A884" s="28"/>
      <c r="B884" s="29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 ht="15.75" customHeight="1">
      <c r="A885" s="28"/>
      <c r="B885" s="29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 ht="15.75" customHeight="1">
      <c r="A886" s="28"/>
      <c r="B886" s="29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 ht="15.75" customHeight="1">
      <c r="A887" s="28"/>
      <c r="B887" s="29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 ht="15.75" customHeight="1">
      <c r="A888" s="28"/>
      <c r="B888" s="29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 ht="15.75" customHeight="1">
      <c r="A889" s="28"/>
      <c r="B889" s="29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 ht="15.75" customHeight="1">
      <c r="A890" s="28"/>
      <c r="B890" s="29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 ht="15.75" customHeight="1">
      <c r="A891" s="28"/>
      <c r="B891" s="29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ht="15.75" customHeight="1">
      <c r="A892" s="28"/>
      <c r="B892" s="29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 ht="15.75" customHeight="1">
      <c r="A893" s="28"/>
      <c r="B893" s="29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 ht="15.75" customHeight="1">
      <c r="A894" s="28"/>
      <c r="B894" s="29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 ht="15.75" customHeight="1">
      <c r="A895" s="28"/>
      <c r="B895" s="29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 ht="15.75" customHeight="1">
      <c r="A896" s="28"/>
      <c r="B896" s="29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 ht="15.75" customHeight="1">
      <c r="A897" s="28"/>
      <c r="B897" s="29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 ht="15.75" customHeight="1">
      <c r="A898" s="28"/>
      <c r="B898" s="29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 ht="15.75" customHeight="1">
      <c r="A899" s="28"/>
      <c r="B899" s="29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 ht="15.75" customHeight="1">
      <c r="A900" s="28"/>
      <c r="B900" s="29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ht="15.75" customHeight="1">
      <c r="A901" s="28"/>
      <c r="B901" s="29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 ht="15.75" customHeight="1">
      <c r="A902" s="28"/>
      <c r="B902" s="29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 ht="15.75" customHeight="1">
      <c r="A903" s="28"/>
      <c r="B903" s="29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 ht="15.75" customHeight="1">
      <c r="A904" s="28"/>
      <c r="B904" s="29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 ht="15.75" customHeight="1">
      <c r="A905" s="28"/>
      <c r="B905" s="29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 ht="15.75" customHeight="1">
      <c r="A906" s="28"/>
      <c r="B906" s="29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 ht="15.75" customHeight="1">
      <c r="A907" s="28"/>
      <c r="B907" s="29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 ht="15.75" customHeight="1">
      <c r="A908" s="28"/>
      <c r="B908" s="29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 ht="15.75" customHeight="1">
      <c r="A909" s="28"/>
      <c r="B909" s="29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 ht="15.75" customHeight="1">
      <c r="A910" s="28"/>
      <c r="B910" s="29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 ht="15.75" customHeight="1">
      <c r="A911" s="28"/>
      <c r="B911" s="29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 ht="15.75" customHeight="1">
      <c r="A912" s="28"/>
      <c r="B912" s="29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 ht="15.75" customHeight="1">
      <c r="A913" s="28"/>
      <c r="B913" s="29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 ht="15.75" customHeight="1">
      <c r="A914" s="28"/>
      <c r="B914" s="29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ht="15.75" customHeight="1">
      <c r="A915" s="28"/>
      <c r="B915" s="29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 ht="15.75" customHeight="1">
      <c r="A916" s="28"/>
      <c r="B916" s="29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 ht="15.75" customHeight="1">
      <c r="A917" s="28"/>
      <c r="B917" s="29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 ht="15.75" customHeight="1">
      <c r="A918" s="28"/>
      <c r="B918" s="29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 ht="15.75" customHeight="1">
      <c r="A919" s="28"/>
      <c r="B919" s="29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 ht="15.75" customHeight="1">
      <c r="A920" s="28"/>
      <c r="B920" s="29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 ht="15.75" customHeight="1">
      <c r="A921" s="28"/>
      <c r="B921" s="29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 ht="15.75" customHeight="1">
      <c r="A922" s="28"/>
      <c r="B922" s="29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 ht="15.75" customHeight="1">
      <c r="A923" s="28"/>
      <c r="B923" s="29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 ht="15.75" customHeight="1">
      <c r="A924" s="28"/>
      <c r="B924" s="29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 ht="15.75" customHeight="1">
      <c r="A925" s="28"/>
      <c r="B925" s="29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 ht="15.75" customHeight="1">
      <c r="A926" s="28"/>
      <c r="B926" s="29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 ht="15.75" customHeight="1">
      <c r="A927" s="28"/>
      <c r="B927" s="29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 ht="15.75" customHeight="1">
      <c r="A928" s="28"/>
      <c r="B928" s="29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 ht="15.75" customHeight="1">
      <c r="A929" s="28"/>
      <c r="B929" s="29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 ht="15.75" customHeight="1">
      <c r="A930" s="28"/>
      <c r="B930" s="29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 ht="15.75" customHeight="1">
      <c r="A931" s="28"/>
      <c r="B931" s="29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 ht="15.75" customHeight="1">
      <c r="A932" s="28"/>
      <c r="B932" s="29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 ht="15.75" customHeight="1">
      <c r="A933" s="28"/>
      <c r="B933" s="29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 ht="15.75" customHeight="1">
      <c r="A934" s="28"/>
      <c r="B934" s="29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 ht="15.75" customHeight="1">
      <c r="A935" s="28"/>
      <c r="B935" s="29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 ht="15.75" customHeight="1">
      <c r="A936" s="28"/>
      <c r="B936" s="29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 ht="15.75" customHeight="1">
      <c r="A937" s="28"/>
      <c r="B937" s="29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 ht="15.75" customHeight="1">
      <c r="A938" s="28"/>
      <c r="B938" s="29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 ht="15.75" customHeight="1">
      <c r="A939" s="28"/>
      <c r="B939" s="29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 ht="15.75" customHeight="1">
      <c r="A940" s="28"/>
      <c r="B940" s="29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 ht="15.75" customHeight="1">
      <c r="A941" s="28"/>
      <c r="B941" s="29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 ht="15.75" customHeight="1">
      <c r="A942" s="28"/>
      <c r="B942" s="29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 ht="15.75" customHeight="1">
      <c r="A943" s="28"/>
      <c r="B943" s="29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 ht="15.75" customHeight="1">
      <c r="A944" s="28"/>
      <c r="B944" s="29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 ht="15.75" customHeight="1">
      <c r="A945" s="28"/>
      <c r="B945" s="29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 ht="15.75" customHeight="1">
      <c r="A946" s="28"/>
      <c r="B946" s="29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 ht="15.75" customHeight="1">
      <c r="A947" s="28"/>
      <c r="B947" s="29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 ht="15.75" customHeight="1">
      <c r="A948" s="28"/>
      <c r="B948" s="29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 ht="15.75" customHeight="1">
      <c r="A949" s="28"/>
      <c r="B949" s="29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 ht="15.75" customHeight="1">
      <c r="A950" s="28"/>
      <c r="B950" s="29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 ht="15.75" customHeight="1">
      <c r="A951" s="28"/>
      <c r="B951" s="29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 ht="15.75" customHeight="1">
      <c r="A952" s="28"/>
      <c r="B952" s="29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 ht="15.75" customHeight="1">
      <c r="A953" s="28"/>
      <c r="B953" s="29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 ht="15.75" customHeight="1">
      <c r="A954" s="28"/>
      <c r="B954" s="29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 ht="15.75" customHeight="1">
      <c r="A955" s="28"/>
      <c r="B955" s="29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 ht="15.75" customHeight="1">
      <c r="A956" s="28"/>
      <c r="B956" s="29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 ht="15.75" customHeight="1">
      <c r="A957" s="28"/>
      <c r="B957" s="29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 ht="15.75" customHeight="1">
      <c r="A958" s="28"/>
      <c r="B958" s="29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 ht="15.75" customHeight="1">
      <c r="A959" s="28"/>
      <c r="B959" s="29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 ht="15.75" customHeight="1">
      <c r="A960" s="28"/>
      <c r="B960" s="29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 ht="15.75" customHeight="1">
      <c r="A961" s="28"/>
      <c r="B961" s="29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 ht="15.75" customHeight="1">
      <c r="A962" s="28"/>
      <c r="B962" s="29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 ht="15.75" customHeight="1">
      <c r="A963" s="28"/>
      <c r="B963" s="29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 ht="15.75" customHeight="1">
      <c r="A964" s="28"/>
      <c r="B964" s="29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 ht="15.75" customHeight="1">
      <c r="A965" s="28"/>
      <c r="B965" s="29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 ht="15.75" customHeight="1">
      <c r="A966" s="28"/>
      <c r="B966" s="29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 ht="15.75" customHeight="1">
      <c r="A967" s="28"/>
      <c r="B967" s="29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 ht="15.75" customHeight="1">
      <c r="A968" s="28"/>
      <c r="B968" s="29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 ht="15.75" customHeight="1">
      <c r="A969" s="28"/>
      <c r="B969" s="29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 ht="15.75" customHeight="1">
      <c r="A970" s="28"/>
      <c r="B970" s="29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 ht="15.75" customHeight="1">
      <c r="A971" s="28"/>
      <c r="B971" s="29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 ht="15.75" customHeight="1">
      <c r="A972" s="28"/>
      <c r="B972" s="29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 ht="15.75" customHeight="1">
      <c r="A973" s="28"/>
      <c r="B973" s="29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 ht="15.75" customHeight="1">
      <c r="A974" s="28"/>
      <c r="B974" s="29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 ht="15.75" customHeight="1">
      <c r="A975" s="28"/>
      <c r="B975" s="29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 ht="15.75" customHeight="1">
      <c r="A976" s="28"/>
      <c r="B976" s="29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 ht="15.75" customHeight="1">
      <c r="A977" s="28"/>
      <c r="B977" s="29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 ht="15.75" customHeight="1">
      <c r="A978" s="28"/>
      <c r="B978" s="29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 ht="15.75" customHeight="1">
      <c r="A979" s="28"/>
      <c r="B979" s="29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 ht="15.75" customHeight="1">
      <c r="A980" s="28"/>
      <c r="B980" s="29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  <row r="981" ht="15.75" customHeight="1">
      <c r="A981" s="28"/>
      <c r="B981" s="29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</row>
    <row r="982" ht="15.75" customHeight="1">
      <c r="A982" s="28"/>
      <c r="B982" s="29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 ht="15.75" customHeight="1">
      <c r="A983" s="28"/>
      <c r="B983" s="29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</row>
    <row r="984" ht="15.75" customHeight="1">
      <c r="A984" s="28"/>
      <c r="B984" s="29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</row>
    <row r="985" ht="15.75" customHeight="1">
      <c r="A985" s="28"/>
      <c r="B985" s="29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</row>
    <row r="986" ht="15.75" customHeight="1">
      <c r="A986" s="28"/>
      <c r="B986" s="29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</row>
    <row r="987" ht="15.75" customHeight="1">
      <c r="A987" s="28"/>
      <c r="B987" s="29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</row>
    <row r="988" ht="15.75" customHeight="1">
      <c r="A988" s="28"/>
      <c r="B988" s="29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</row>
    <row r="989" ht="15.75" customHeight="1">
      <c r="A989" s="28"/>
      <c r="B989" s="29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</row>
  </sheetData>
  <mergeCells count="6">
    <mergeCell ref="A1:D1"/>
    <mergeCell ref="A2:D2"/>
    <mergeCell ref="A3:D3"/>
    <mergeCell ref="A4:A5"/>
    <mergeCell ref="B4:B5"/>
    <mergeCell ref="C4:D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5.13"/>
    <col customWidth="1" min="3" max="3" width="7.63"/>
    <col customWidth="1" min="4" max="4" width="7.5"/>
    <col customWidth="1" min="5" max="5" width="8.25"/>
    <col customWidth="1" min="6" max="6" width="8.5"/>
    <col customWidth="1" min="7" max="10" width="6.75"/>
    <col customWidth="1" min="11" max="11" width="5.5"/>
    <col customWidth="1" min="12" max="12" width="6.38"/>
    <col customWidth="1" min="13" max="13" width="7.13"/>
    <col customWidth="1" min="14" max="14" width="4.88"/>
    <col customWidth="1" min="15" max="15" width="6.75"/>
    <col customWidth="1" min="16" max="16" width="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P2" s="5"/>
    </row>
    <row r="3">
      <c r="A3" s="6" t="s">
        <v>82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>
      <c r="A4" s="20" t="s">
        <v>3</v>
      </c>
      <c r="B4" s="21" t="s">
        <v>4</v>
      </c>
      <c r="C4" s="22" t="s">
        <v>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</row>
    <row r="5">
      <c r="A5" s="12"/>
      <c r="B5" s="12"/>
      <c r="C5" s="14" t="s">
        <v>44</v>
      </c>
      <c r="D5" s="14" t="s">
        <v>45</v>
      </c>
      <c r="E5" s="14" t="s">
        <v>46</v>
      </c>
      <c r="F5" s="14" t="s">
        <v>47</v>
      </c>
      <c r="G5" s="14" t="s">
        <v>8</v>
      </c>
      <c r="H5" s="14" t="s">
        <v>83</v>
      </c>
      <c r="I5" s="14" t="s">
        <v>84</v>
      </c>
      <c r="J5" s="14" t="s">
        <v>85</v>
      </c>
      <c r="K5" s="14" t="s">
        <v>10</v>
      </c>
      <c r="L5" s="14" t="s">
        <v>48</v>
      </c>
      <c r="M5" s="14" t="s">
        <v>11</v>
      </c>
      <c r="N5" s="14" t="s">
        <v>49</v>
      </c>
      <c r="O5" s="14" t="s">
        <v>12</v>
      </c>
      <c r="P5" s="14" t="s">
        <v>13</v>
      </c>
    </row>
    <row r="6">
      <c r="A6" s="15">
        <v>1.0</v>
      </c>
      <c r="B6" s="16" t="s">
        <v>86</v>
      </c>
      <c r="C6" s="15">
        <v>28.0</v>
      </c>
      <c r="D6" s="15"/>
      <c r="E6" s="15">
        <v>24.0</v>
      </c>
      <c r="F6" s="15"/>
      <c r="G6" s="15">
        <v>23.0</v>
      </c>
      <c r="H6" s="15">
        <v>27.0</v>
      </c>
      <c r="I6" s="15">
        <v>18.0</v>
      </c>
      <c r="J6" s="53">
        <v>17.0</v>
      </c>
      <c r="K6" s="15">
        <v>26.0</v>
      </c>
      <c r="L6" s="15">
        <v>29.0</v>
      </c>
      <c r="M6" s="15">
        <v>29.0</v>
      </c>
      <c r="N6" s="15">
        <v>15.0</v>
      </c>
      <c r="O6" s="15">
        <f>SUM(C6:N6)</f>
        <v>236</v>
      </c>
      <c r="P6" s="15">
        <f t="shared" ref="P6:P9" si="1">RANK(O6,$O$6:$O$9)</f>
        <v>1</v>
      </c>
    </row>
    <row r="7">
      <c r="A7" s="15">
        <v>2.0</v>
      </c>
      <c r="B7" s="16" t="s">
        <v>87</v>
      </c>
      <c r="C7" s="15">
        <v>25.0</v>
      </c>
      <c r="D7" s="15"/>
      <c r="E7" s="15">
        <v>24.0</v>
      </c>
      <c r="F7" s="15"/>
      <c r="G7" s="15">
        <v>9.0</v>
      </c>
      <c r="H7" s="15">
        <v>16.0</v>
      </c>
      <c r="I7" s="15">
        <v>10.0</v>
      </c>
      <c r="J7" s="53">
        <v>19.0</v>
      </c>
      <c r="K7" s="15">
        <v>24.0</v>
      </c>
      <c r="L7" s="15">
        <v>24.0</v>
      </c>
      <c r="M7" s="15">
        <v>25.0</v>
      </c>
      <c r="N7" s="15">
        <v>14.0</v>
      </c>
      <c r="O7" s="17">
        <f t="shared" ref="O7:O9" si="2">SUM(C7:M7)</f>
        <v>176</v>
      </c>
      <c r="P7" s="15">
        <f t="shared" si="1"/>
        <v>3</v>
      </c>
    </row>
    <row r="8">
      <c r="A8" s="15">
        <v>3.0</v>
      </c>
      <c r="B8" s="16" t="s">
        <v>88</v>
      </c>
      <c r="C8" s="15">
        <v>26.0</v>
      </c>
      <c r="D8" s="15"/>
      <c r="E8" s="15">
        <v>21.0</v>
      </c>
      <c r="F8" s="15"/>
      <c r="G8" s="15">
        <v>10.0</v>
      </c>
      <c r="H8" s="15">
        <v>21.0</v>
      </c>
      <c r="I8" s="15">
        <v>17.0</v>
      </c>
      <c r="J8" s="53">
        <v>11.0</v>
      </c>
      <c r="K8" s="15">
        <v>16.0</v>
      </c>
      <c r="L8" s="15">
        <v>29.0</v>
      </c>
      <c r="M8" s="15">
        <v>26.0</v>
      </c>
      <c r="N8" s="15">
        <v>15.0</v>
      </c>
      <c r="O8" s="17">
        <f t="shared" si="2"/>
        <v>177</v>
      </c>
      <c r="P8" s="15">
        <f t="shared" si="1"/>
        <v>2</v>
      </c>
    </row>
    <row r="9">
      <c r="A9" s="15">
        <v>4.0</v>
      </c>
      <c r="B9" s="16" t="s">
        <v>89</v>
      </c>
      <c r="C9" s="15">
        <v>20.0</v>
      </c>
      <c r="D9" s="15"/>
      <c r="E9" s="15">
        <v>14.0</v>
      </c>
      <c r="F9" s="15"/>
      <c r="G9" s="15">
        <v>9.0</v>
      </c>
      <c r="H9" s="15">
        <v>10.0</v>
      </c>
      <c r="I9" s="15">
        <v>10.0</v>
      </c>
      <c r="J9" s="53">
        <v>10.0</v>
      </c>
      <c r="K9" s="15">
        <v>10.0</v>
      </c>
      <c r="L9" s="15">
        <v>11.0</v>
      </c>
      <c r="M9" s="15">
        <v>12.0</v>
      </c>
      <c r="N9" s="15">
        <v>13.0</v>
      </c>
      <c r="O9" s="17">
        <f t="shared" si="2"/>
        <v>106</v>
      </c>
      <c r="P9" s="15">
        <f t="shared" si="1"/>
        <v>4</v>
      </c>
    </row>
  </sheetData>
  <mergeCells count="6">
    <mergeCell ref="A1:P1"/>
    <mergeCell ref="A2:P2"/>
    <mergeCell ref="A3:P3"/>
    <mergeCell ref="A4:A5"/>
    <mergeCell ref="B4:B5"/>
    <mergeCell ref="C4:P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6.13"/>
    <col customWidth="1" min="3" max="4" width="7.0"/>
    <col customWidth="1" min="5" max="5" width="8.25"/>
    <col customWidth="1" min="6" max="6" width="7.75"/>
    <col customWidth="1" min="7" max="7" width="6.0"/>
    <col customWidth="1" min="8" max="8" width="4.63"/>
    <col customWidth="1" min="9" max="9" width="4.5"/>
    <col customWidth="1" min="10" max="11" width="4.75"/>
    <col customWidth="1" min="12" max="12" width="5.0"/>
    <col customWidth="1" min="13" max="13" width="6.38"/>
    <col customWidth="1" min="14" max="14" width="3.63"/>
    <col customWidth="1" min="15" max="15" width="4.5"/>
    <col customWidth="1" min="16" max="16" width="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P2" s="5"/>
    </row>
    <row r="3">
      <c r="A3" s="6" t="s">
        <v>82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>
      <c r="A4" s="20" t="s">
        <v>3</v>
      </c>
      <c r="B4" s="21" t="s">
        <v>4</v>
      </c>
      <c r="C4" s="22" t="s">
        <v>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</row>
    <row r="5">
      <c r="A5" s="12"/>
      <c r="B5" s="12"/>
      <c r="C5" s="14" t="s">
        <v>44</v>
      </c>
      <c r="D5" s="14" t="s">
        <v>45</v>
      </c>
      <c r="E5" s="14" t="s">
        <v>46</v>
      </c>
      <c r="F5" s="14" t="s">
        <v>47</v>
      </c>
      <c r="G5" s="14" t="s">
        <v>8</v>
      </c>
      <c r="H5" s="14" t="s">
        <v>83</v>
      </c>
      <c r="I5" s="14" t="s">
        <v>84</v>
      </c>
      <c r="J5" s="14" t="s">
        <v>85</v>
      </c>
      <c r="K5" s="14" t="s">
        <v>10</v>
      </c>
      <c r="L5" s="14" t="s">
        <v>48</v>
      </c>
      <c r="M5" s="14" t="s">
        <v>11</v>
      </c>
      <c r="N5" s="14" t="s">
        <v>49</v>
      </c>
      <c r="O5" s="14" t="s">
        <v>12</v>
      </c>
      <c r="P5" s="14" t="s">
        <v>13</v>
      </c>
    </row>
    <row r="6">
      <c r="A6" s="15">
        <v>1.0</v>
      </c>
      <c r="B6" s="16" t="s">
        <v>86</v>
      </c>
      <c r="C6" s="15">
        <v>55.0</v>
      </c>
      <c r="D6" s="15">
        <v>45.0</v>
      </c>
      <c r="E6" s="15">
        <v>36.0</v>
      </c>
      <c r="F6" s="15">
        <v>28.0</v>
      </c>
      <c r="G6" s="15">
        <v>39.0</v>
      </c>
      <c r="H6" s="15">
        <v>52.0</v>
      </c>
      <c r="I6" s="15">
        <v>35.0</v>
      </c>
      <c r="J6" s="15">
        <v>37.0</v>
      </c>
      <c r="K6" s="15">
        <v>42.0</v>
      </c>
      <c r="L6" s="15">
        <v>66.0</v>
      </c>
      <c r="M6" s="15">
        <v>60.0</v>
      </c>
      <c r="N6" s="15">
        <v>15.0</v>
      </c>
      <c r="O6" s="15">
        <f t="shared" ref="O6:O9" si="1">SUM(C6:N6)</f>
        <v>510</v>
      </c>
      <c r="P6" s="15">
        <f t="shared" ref="P6:P9" si="2">RANK(O6,$O$6:$O$9)</f>
        <v>1</v>
      </c>
    </row>
    <row r="7">
      <c r="A7" s="15">
        <v>2.0</v>
      </c>
      <c r="B7" s="16" t="s">
        <v>87</v>
      </c>
      <c r="C7" s="15">
        <v>47.0</v>
      </c>
      <c r="D7" s="15">
        <v>34.0</v>
      </c>
      <c r="E7" s="15">
        <v>34.0</v>
      </c>
      <c r="F7" s="15">
        <v>20.0</v>
      </c>
      <c r="G7" s="15">
        <v>24.0</v>
      </c>
      <c r="H7" s="15">
        <v>36.0</v>
      </c>
      <c r="I7" s="15">
        <v>24.0</v>
      </c>
      <c r="J7" s="15">
        <v>26.0</v>
      </c>
      <c r="K7" s="15">
        <v>50.0</v>
      </c>
      <c r="L7" s="15">
        <v>42.0</v>
      </c>
      <c r="M7" s="15">
        <v>56.0</v>
      </c>
      <c r="N7" s="15">
        <v>14.0</v>
      </c>
      <c r="O7" s="17">
        <f t="shared" si="1"/>
        <v>407</v>
      </c>
      <c r="P7" s="15">
        <f t="shared" si="2"/>
        <v>3</v>
      </c>
    </row>
    <row r="8">
      <c r="A8" s="15">
        <v>3.0</v>
      </c>
      <c r="B8" s="16" t="s">
        <v>88</v>
      </c>
      <c r="C8" s="15">
        <v>50.0</v>
      </c>
      <c r="D8" s="15">
        <v>43.0</v>
      </c>
      <c r="E8" s="15">
        <v>34.0</v>
      </c>
      <c r="F8" s="15">
        <v>18.0</v>
      </c>
      <c r="G8" s="15">
        <v>24.0</v>
      </c>
      <c r="H8" s="15">
        <v>45.0</v>
      </c>
      <c r="I8" s="15">
        <v>24.0</v>
      </c>
      <c r="J8" s="15">
        <v>32.0</v>
      </c>
      <c r="K8" s="15">
        <v>45.0</v>
      </c>
      <c r="L8" s="15">
        <v>60.0</v>
      </c>
      <c r="M8" s="15">
        <v>58.0</v>
      </c>
      <c r="N8" s="15">
        <v>15.0</v>
      </c>
      <c r="O8" s="17">
        <f t="shared" si="1"/>
        <v>448</v>
      </c>
      <c r="P8" s="15">
        <f t="shared" si="2"/>
        <v>2</v>
      </c>
    </row>
    <row r="9">
      <c r="A9" s="15">
        <v>4.0</v>
      </c>
      <c r="B9" s="16" t="s">
        <v>89</v>
      </c>
      <c r="C9" s="15">
        <v>34.0</v>
      </c>
      <c r="D9" s="15">
        <v>22.0</v>
      </c>
      <c r="E9" s="15">
        <v>25.0</v>
      </c>
      <c r="F9" s="15">
        <v>17.0</v>
      </c>
      <c r="G9" s="15">
        <v>24.0</v>
      </c>
      <c r="H9" s="15">
        <v>24.0</v>
      </c>
      <c r="I9" s="15">
        <v>24.0</v>
      </c>
      <c r="J9" s="15">
        <v>12.0</v>
      </c>
      <c r="K9" s="15">
        <v>24.0</v>
      </c>
      <c r="L9" s="15">
        <v>24.0</v>
      </c>
      <c r="M9" s="15">
        <v>24.0</v>
      </c>
      <c r="N9" s="15">
        <v>13.0</v>
      </c>
      <c r="O9" s="17">
        <f t="shared" si="1"/>
        <v>267</v>
      </c>
      <c r="P9" s="15">
        <f t="shared" si="2"/>
        <v>4</v>
      </c>
    </row>
  </sheetData>
  <mergeCells count="6">
    <mergeCell ref="A1:P1"/>
    <mergeCell ref="A2:P2"/>
    <mergeCell ref="A3:P3"/>
    <mergeCell ref="A4:A5"/>
    <mergeCell ref="B4:B5"/>
    <mergeCell ref="C4:P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</cols>
  <sheetData>
    <row r="1">
      <c r="A1" s="30" t="s">
        <v>3</v>
      </c>
      <c r="B1" s="31" t="s">
        <v>31</v>
      </c>
      <c r="C1" s="42" t="str">
        <f>'9s'!B6</f>
        <v>MONIKA SHIL</v>
      </c>
      <c r="D1" s="23"/>
      <c r="E1" s="23"/>
      <c r="F1" s="23"/>
      <c r="G1" s="23"/>
      <c r="H1" s="24"/>
    </row>
    <row r="2">
      <c r="A2" s="47">
        <v>1.0</v>
      </c>
      <c r="B2" s="35" t="s">
        <v>32</v>
      </c>
      <c r="C2" s="36" t="s">
        <v>33</v>
      </c>
      <c r="D2" s="36" t="s">
        <v>34</v>
      </c>
      <c r="E2" s="35" t="s">
        <v>35</v>
      </c>
      <c r="F2" s="36" t="s">
        <v>36</v>
      </c>
      <c r="G2" s="36" t="s">
        <v>37</v>
      </c>
      <c r="H2" s="36" t="s">
        <v>38</v>
      </c>
    </row>
    <row r="3">
      <c r="A3" s="5"/>
      <c r="B3" s="37" t="s">
        <v>44</v>
      </c>
      <c r="C3" s="37">
        <f>'9t'!C6</f>
        <v>28</v>
      </c>
      <c r="D3" s="37">
        <f>'9s'!C6</f>
        <v>55</v>
      </c>
      <c r="E3" s="38">
        <f t="shared" ref="E3:E14" si="1">SUM(C3:D3)</f>
        <v>83</v>
      </c>
      <c r="F3" s="39" t="str">
        <f>IF(E3&gt;=80,"A+",
IF(E3&gt;=70,"A",
IF(E3&gt;=60,"A-",
IF(E3&gt;=50,"B",
IF(E3&gt;=40,"C",
IF(E3&gt;=33,"D","F"))))))
</f>
        <v>A+</v>
      </c>
      <c r="G3" s="38">
        <f>IF(E3&gt;=80,5,
IF(E3&gt;=70,4,
IF(E3&gt;=60,3.5,
IF(E3&gt;=50,3,
IF(E3&gt;=40,2,
IF(E3&gt;=33,1,0))))))</f>
        <v>5</v>
      </c>
      <c r="H3" s="40">
        <f>AVERAGE(
VALUE(G3),
VALUE(G4),
VALUE(G5),
VALUE(G6),
VALUE(G7),
VALUE(G8),
VALUE(G9),
VALUE(G10),
VALUE(G11),
VALUE(G12),
VALUE(G13),
VALUE(G14))</f>
        <v>3.916666667</v>
      </c>
    </row>
    <row r="4">
      <c r="A4" s="5"/>
      <c r="B4" s="37" t="s">
        <v>45</v>
      </c>
      <c r="C4" s="37" t="str">
        <f>'9t'!D6</f>
        <v/>
      </c>
      <c r="D4" s="37">
        <f>'9s'!D6</f>
        <v>45</v>
      </c>
      <c r="E4" s="38">
        <f t="shared" si="1"/>
        <v>45</v>
      </c>
      <c r="F4" s="38" t="str">
        <f>IF(E4&gt;=40,"A+",
IF(E4&gt;=35,"A",
IF(E4&gt;=30,"A-",
IF(E4&gt;=25,"B",
IF(E4&gt;=20,"C",
IF(E4&gt;=16,"D","F"))))))
</f>
        <v>A+</v>
      </c>
      <c r="G4" s="38">
        <f>IF(E4&gt;=40,5,
IF(E4&gt;=35,4,
IF(E4&gt;=30,3.5,
IF(E4&gt;=25,3,
IF(E4&gt;=20,2,
IF(E4&gt;=16,1,0))))))</f>
        <v>5</v>
      </c>
      <c r="H4" s="41"/>
    </row>
    <row r="5">
      <c r="A5" s="5"/>
      <c r="B5" s="37" t="s">
        <v>57</v>
      </c>
      <c r="C5" s="37">
        <f>'9t'!E6</f>
        <v>24</v>
      </c>
      <c r="D5" s="37">
        <f>'9s'!E6</f>
        <v>36</v>
      </c>
      <c r="E5" s="38">
        <f t="shared" si="1"/>
        <v>60</v>
      </c>
      <c r="F5" s="39" t="str">
        <f>IF(E5&gt;=80,"A+",
IF(E5&gt;=70,"A",
IF(E5&gt;=60,"A-",
IF(E5&gt;=50,"B",
IF(E5&gt;=40,"C",
IF(E5&gt;=33,"D","F"))))))
</f>
        <v>A-</v>
      </c>
      <c r="G5" s="38">
        <f>IF(E5&gt;=80,5,
IF(E5&gt;=70,4,
IF(E5&gt;=60,3.5,
IF(E5&gt;=50,3,
IF(E5&gt;=40,2,
IF(E5&gt;=33,1,0))))))</f>
        <v>3.5</v>
      </c>
      <c r="H5" s="41"/>
    </row>
    <row r="6">
      <c r="A6" s="5"/>
      <c r="B6" s="37" t="s">
        <v>58</v>
      </c>
      <c r="C6" s="37" t="str">
        <f>'9t'!F6</f>
        <v/>
      </c>
      <c r="D6" s="37">
        <f>'9s'!F6</f>
        <v>28</v>
      </c>
      <c r="E6" s="38">
        <f t="shared" si="1"/>
        <v>28</v>
      </c>
      <c r="F6" s="38" t="str">
        <f>IF(E6&gt;=40,"A+",
IF(E6&gt;=35,"A",
IF(E6&gt;=30,"A-",
IF(E6&gt;=25,"B",
IF(E6&gt;=20,"C",
IF(E6&gt;=16,"D","F"))))))
</f>
        <v>B</v>
      </c>
      <c r="G6" s="38">
        <f>IF(E6&gt;=40,5,
IF(E6&gt;=35,4,
IF(E6&gt;=30,3.5,
IF(E6&gt;=25,3,
IF(E6&gt;=20,2,
IF(E6&gt;=16,1,0))))))</f>
        <v>3</v>
      </c>
      <c r="H6" s="41"/>
    </row>
    <row r="7">
      <c r="A7" s="5"/>
      <c r="B7" s="38" t="s">
        <v>40</v>
      </c>
      <c r="C7" s="37">
        <f>'9t'!G6</f>
        <v>23</v>
      </c>
      <c r="D7" s="37">
        <f>'9s'!G6</f>
        <v>39</v>
      </c>
      <c r="E7" s="38">
        <f t="shared" si="1"/>
        <v>62</v>
      </c>
      <c r="F7" s="39" t="str">
        <f t="shared" ref="F7:F13" si="2">IF(E7&gt;=80,"A+",
IF(E7&gt;=70,"A",
IF(E7&gt;=60,"A-",
IF(E7&gt;=50,"B",
IF(E7&gt;=40,"C",
IF(E7&gt;=33,"D","F"))))))
</f>
        <v>A-</v>
      </c>
      <c r="G7" s="38">
        <f t="shared" ref="G7:G13" si="3">IF(E7&gt;=80,5,
IF(E7&gt;=70,4,
IF(E7&gt;=60,3.5,
IF(E7&gt;=50,3,
IF(E7&gt;=40,2,
IF(E7&gt;=33,1,0))))))</f>
        <v>3.5</v>
      </c>
      <c r="H7" s="41"/>
    </row>
    <row r="8" ht="15.75" customHeight="1">
      <c r="A8" s="5"/>
      <c r="B8" s="37" t="s">
        <v>90</v>
      </c>
      <c r="C8" s="38">
        <f>'9t'!H6</f>
        <v>27</v>
      </c>
      <c r="D8" s="38">
        <f>'9s'!H6</f>
        <v>52</v>
      </c>
      <c r="E8" s="38">
        <f t="shared" si="1"/>
        <v>79</v>
      </c>
      <c r="F8" s="39" t="str">
        <f t="shared" si="2"/>
        <v>A</v>
      </c>
      <c r="G8" s="38">
        <f t="shared" si="3"/>
        <v>4</v>
      </c>
      <c r="H8" s="41"/>
    </row>
    <row r="9">
      <c r="A9" s="5"/>
      <c r="B9" s="37" t="s">
        <v>91</v>
      </c>
      <c r="C9" s="37">
        <f>'9t'!I6</f>
        <v>18</v>
      </c>
      <c r="D9" s="37">
        <f>'9s'!I6</f>
        <v>35</v>
      </c>
      <c r="E9" s="38">
        <f t="shared" si="1"/>
        <v>53</v>
      </c>
      <c r="F9" s="39" t="str">
        <f t="shared" si="2"/>
        <v>B</v>
      </c>
      <c r="G9" s="38">
        <f t="shared" si="3"/>
        <v>3</v>
      </c>
      <c r="H9" s="41"/>
    </row>
    <row r="10">
      <c r="A10" s="5"/>
      <c r="B10" s="37" t="s">
        <v>92</v>
      </c>
      <c r="C10" s="38">
        <f>'9t'!J6</f>
        <v>17</v>
      </c>
      <c r="D10" s="38">
        <f>'9s'!J6</f>
        <v>37</v>
      </c>
      <c r="E10" s="38">
        <f t="shared" si="1"/>
        <v>54</v>
      </c>
      <c r="F10" s="39" t="str">
        <f t="shared" si="2"/>
        <v>B</v>
      </c>
      <c r="G10" s="38">
        <f t="shared" si="3"/>
        <v>3</v>
      </c>
      <c r="H10" s="41"/>
    </row>
    <row r="11">
      <c r="A11" s="5"/>
      <c r="B11" s="38" t="s">
        <v>10</v>
      </c>
      <c r="C11" s="38">
        <f>'9t'!K6</f>
        <v>26</v>
      </c>
      <c r="D11" s="38">
        <f>'9s'!K6</f>
        <v>42</v>
      </c>
      <c r="E11" s="38">
        <f t="shared" si="1"/>
        <v>68</v>
      </c>
      <c r="F11" s="39" t="str">
        <f t="shared" si="2"/>
        <v>A-</v>
      </c>
      <c r="G11" s="38">
        <f t="shared" si="3"/>
        <v>3.5</v>
      </c>
      <c r="H11" s="41"/>
    </row>
    <row r="12">
      <c r="A12" s="5"/>
      <c r="B12" s="37" t="s">
        <v>48</v>
      </c>
      <c r="C12" s="38">
        <f>'9t'!L6</f>
        <v>29</v>
      </c>
      <c r="D12" s="38">
        <f>'9s'!L6</f>
        <v>66</v>
      </c>
      <c r="E12" s="38">
        <f t="shared" si="1"/>
        <v>95</v>
      </c>
      <c r="F12" s="39" t="str">
        <f t="shared" si="2"/>
        <v>A+</v>
      </c>
      <c r="G12" s="38">
        <f t="shared" si="3"/>
        <v>5</v>
      </c>
      <c r="H12" s="41"/>
    </row>
    <row r="13">
      <c r="A13" s="5"/>
      <c r="B13" s="38" t="s">
        <v>11</v>
      </c>
      <c r="C13" s="38">
        <f>'9t'!M6</f>
        <v>29</v>
      </c>
      <c r="D13" s="38">
        <f>'9s'!M6</f>
        <v>60</v>
      </c>
      <c r="E13" s="38">
        <f t="shared" si="1"/>
        <v>89</v>
      </c>
      <c r="F13" s="39" t="str">
        <f t="shared" si="2"/>
        <v>A+</v>
      </c>
      <c r="G13" s="38">
        <f t="shared" si="3"/>
        <v>5</v>
      </c>
      <c r="H13" s="41"/>
    </row>
    <row r="14">
      <c r="A14" s="8"/>
      <c r="B14" s="37" t="s">
        <v>49</v>
      </c>
      <c r="C14" s="38">
        <f>'9t'!N6</f>
        <v>15</v>
      </c>
      <c r="D14" s="38">
        <f>'9s'!N6</f>
        <v>15</v>
      </c>
      <c r="E14" s="38">
        <f t="shared" si="1"/>
        <v>30</v>
      </c>
      <c r="F14" s="38" t="str">
        <f>IF(E14&gt;=40,"A+",
IF(E14&gt;=35,"A",
IF(E14&gt;=30,"A-",
IF(E14&gt;=25,"B",
IF(E14&gt;=20,"C",
IF(E14&gt;=16,"D","F"))))))
</f>
        <v>A-</v>
      </c>
      <c r="G14" s="38">
        <f>IF(E14&gt;=40,5,
IF(E14&gt;=35,4,
IF(E14&gt;=30,3.5,
IF(E14&gt;=25,3,
IF(E14&gt;=20,2,
IF(E14&gt;=16,1,0))))))</f>
        <v>3.5</v>
      </c>
      <c r="H14" s="12"/>
    </row>
    <row r="15">
      <c r="A15" s="30" t="s">
        <v>3</v>
      </c>
      <c r="B15" s="31" t="s">
        <v>31</v>
      </c>
      <c r="C15" s="42" t="str">
        <f>'9s'!B7</f>
        <v>OISHI AKTER</v>
      </c>
      <c r="D15" s="23"/>
      <c r="E15" s="23"/>
      <c r="F15" s="23"/>
      <c r="G15" s="23"/>
      <c r="H15" s="24"/>
    </row>
    <row r="16">
      <c r="A16" s="47">
        <v>2.0</v>
      </c>
      <c r="B16" s="35" t="s">
        <v>32</v>
      </c>
      <c r="C16" s="36" t="s">
        <v>33</v>
      </c>
      <c r="D16" s="36" t="s">
        <v>34</v>
      </c>
      <c r="E16" s="35" t="s">
        <v>35</v>
      </c>
      <c r="F16" s="36" t="s">
        <v>36</v>
      </c>
      <c r="G16" s="36" t="s">
        <v>37</v>
      </c>
      <c r="H16" s="36" t="s">
        <v>38</v>
      </c>
    </row>
    <row r="17">
      <c r="A17" s="5"/>
      <c r="B17" s="37" t="s">
        <v>44</v>
      </c>
      <c r="C17" s="37">
        <f>'9t'!C7</f>
        <v>25</v>
      </c>
      <c r="D17" s="37">
        <f>'9s'!C7</f>
        <v>47</v>
      </c>
      <c r="E17" s="38">
        <f t="shared" ref="E17:E28" si="4">SUM(C17:D17)</f>
        <v>72</v>
      </c>
      <c r="F17" s="39" t="str">
        <f>IF(E17&gt;=80,"A+",
IF(E17&gt;=70,"A",
IF(E17&gt;=60,"A-",
IF(E17&gt;=50,"B",
IF(E17&gt;=40,"C",
IF(E17&gt;=33,"D","F"))))))
</f>
        <v>A</v>
      </c>
      <c r="G17" s="38">
        <f>IF(E17&gt;=80,5,
IF(E17&gt;=70,4,
IF(E17&gt;=60,3.5,
IF(E17&gt;=50,3,
IF(E17&gt;=40,2,
IF(E17&gt;=33,1,0))))))</f>
        <v>4</v>
      </c>
      <c r="H17" s="40">
        <f>AVERAGE(
VALUE(G17),
VALUE(G18),
VALUE(G19),
VALUE(G20),
VALUE(G21),
VALUE(G22),
VALUE(G23),
VALUE(G24),
VALUE(G25),
VALUE(G26),
VALUE(G27),
VALUE(G28))</f>
        <v>2.916666667</v>
      </c>
    </row>
    <row r="18">
      <c r="A18" s="5"/>
      <c r="B18" s="37" t="s">
        <v>45</v>
      </c>
      <c r="C18" s="37" t="str">
        <f>'9t'!D7</f>
        <v/>
      </c>
      <c r="D18" s="37">
        <f>'9s'!D7</f>
        <v>34</v>
      </c>
      <c r="E18" s="38">
        <f t="shared" si="4"/>
        <v>34</v>
      </c>
      <c r="F18" s="38" t="str">
        <f>IF(E18&gt;=40,"A+",
IF(E18&gt;=35,"A",
IF(E18&gt;=30,"A-",
IF(E18&gt;=25,"B",
IF(E18&gt;=20,"C",
IF(E18&gt;=16,"D","F"))))))
</f>
        <v>A-</v>
      </c>
      <c r="G18" s="38">
        <f>IF(E18&gt;=40,5,
IF(E18&gt;=35,4,
IF(E18&gt;=30,3.5,
IF(E18&gt;=25,3,
IF(E18&gt;=20,2,
IF(E18&gt;=16,1,0))))))</f>
        <v>3.5</v>
      </c>
      <c r="H18" s="41"/>
    </row>
    <row r="19">
      <c r="A19" s="5"/>
      <c r="B19" s="37" t="s">
        <v>57</v>
      </c>
      <c r="C19" s="37">
        <f>'9t'!E7</f>
        <v>24</v>
      </c>
      <c r="D19" s="37">
        <f>'9s'!E7</f>
        <v>34</v>
      </c>
      <c r="E19" s="38">
        <f t="shared" si="4"/>
        <v>58</v>
      </c>
      <c r="F19" s="39" t="str">
        <f>IF(E19&gt;=80,"A+",
IF(E19&gt;=70,"A",
IF(E19&gt;=60,"A-",
IF(E19&gt;=50,"B",
IF(E19&gt;=40,"C",
IF(E19&gt;=33,"D","F"))))))
</f>
        <v>B</v>
      </c>
      <c r="G19" s="38">
        <f>IF(E19&gt;=80,5,
IF(E19&gt;=70,4,
IF(E19&gt;=60,3.5,
IF(E19&gt;=50,3,
IF(E19&gt;=40,2,
IF(E19&gt;=33,1,0))))))</f>
        <v>3</v>
      </c>
      <c r="H19" s="41"/>
    </row>
    <row r="20">
      <c r="A20" s="5"/>
      <c r="B20" s="37" t="s">
        <v>58</v>
      </c>
      <c r="C20" s="37" t="str">
        <f>'9t'!F7</f>
        <v/>
      </c>
      <c r="D20" s="37">
        <f>'9s'!F7</f>
        <v>20</v>
      </c>
      <c r="E20" s="38">
        <f t="shared" si="4"/>
        <v>20</v>
      </c>
      <c r="F20" s="38" t="str">
        <f>IF(E20&gt;=40,"A+",
IF(E20&gt;=35,"A",
IF(E20&gt;=30,"A-",
IF(E20&gt;=25,"B",
IF(E20&gt;=20,"C",
IF(E20&gt;=16,"D","F"))))))
</f>
        <v>C</v>
      </c>
      <c r="G20" s="38">
        <f>IF(E20&gt;=40,5,
IF(E20&gt;=35,4,
IF(E20&gt;=30,3.5,
IF(E20&gt;=25,3,
IF(E20&gt;=20,2,
IF(E20&gt;=16,1,0))))))</f>
        <v>2</v>
      </c>
      <c r="H20" s="41"/>
    </row>
    <row r="21">
      <c r="A21" s="5"/>
      <c r="B21" s="38" t="s">
        <v>40</v>
      </c>
      <c r="C21" s="37">
        <f>'9t'!G7</f>
        <v>9</v>
      </c>
      <c r="D21" s="37">
        <f>'9s'!G7</f>
        <v>24</v>
      </c>
      <c r="E21" s="38">
        <f t="shared" si="4"/>
        <v>33</v>
      </c>
      <c r="F21" s="39" t="str">
        <f t="shared" ref="F21:F27" si="5">IF(E21&gt;=80,"A+",
IF(E21&gt;=70,"A",
IF(E21&gt;=60,"A-",
IF(E21&gt;=50,"B",
IF(E21&gt;=40,"C",
IF(E21&gt;=33,"D","F"))))))
</f>
        <v>D</v>
      </c>
      <c r="G21" s="38">
        <f t="shared" ref="G21:G27" si="6">IF(E21&gt;=80,5,
IF(E21&gt;=70,4,
IF(E21&gt;=60,3.5,
IF(E21&gt;=50,3,
IF(E21&gt;=40,2,
IF(E21&gt;=33,1,0))))))</f>
        <v>1</v>
      </c>
      <c r="H21" s="41"/>
    </row>
    <row r="22">
      <c r="A22" s="5"/>
      <c r="B22" s="37" t="s">
        <v>90</v>
      </c>
      <c r="C22" s="38">
        <f>'9t'!H7</f>
        <v>16</v>
      </c>
      <c r="D22" s="38">
        <f>'9s'!H7</f>
        <v>36</v>
      </c>
      <c r="E22" s="38">
        <f t="shared" si="4"/>
        <v>52</v>
      </c>
      <c r="F22" s="39" t="str">
        <f t="shared" si="5"/>
        <v>B</v>
      </c>
      <c r="G22" s="38">
        <f t="shared" si="6"/>
        <v>3</v>
      </c>
      <c r="H22" s="41"/>
    </row>
    <row r="23">
      <c r="A23" s="5"/>
      <c r="B23" s="37" t="s">
        <v>91</v>
      </c>
      <c r="C23" s="37">
        <f>'9t'!I7</f>
        <v>10</v>
      </c>
      <c r="D23" s="37">
        <f>'9s'!I7</f>
        <v>24</v>
      </c>
      <c r="E23" s="38">
        <f t="shared" si="4"/>
        <v>34</v>
      </c>
      <c r="F23" s="39" t="str">
        <f t="shared" si="5"/>
        <v>D</v>
      </c>
      <c r="G23" s="38">
        <f t="shared" si="6"/>
        <v>1</v>
      </c>
      <c r="H23" s="41"/>
    </row>
    <row r="24">
      <c r="A24" s="5"/>
      <c r="B24" s="37" t="s">
        <v>92</v>
      </c>
      <c r="C24" s="38">
        <f>'9t'!J7</f>
        <v>19</v>
      </c>
      <c r="D24" s="38">
        <f>'9s'!J7</f>
        <v>26</v>
      </c>
      <c r="E24" s="38">
        <f t="shared" si="4"/>
        <v>45</v>
      </c>
      <c r="F24" s="39" t="str">
        <f t="shared" si="5"/>
        <v>C</v>
      </c>
      <c r="G24" s="38">
        <f t="shared" si="6"/>
        <v>2</v>
      </c>
      <c r="H24" s="41"/>
    </row>
    <row r="25">
      <c r="A25" s="5"/>
      <c r="B25" s="38" t="s">
        <v>10</v>
      </c>
      <c r="C25" s="38">
        <f>'9t'!K7</f>
        <v>24</v>
      </c>
      <c r="D25" s="38">
        <f>'9s'!K7</f>
        <v>50</v>
      </c>
      <c r="E25" s="38">
        <f t="shared" si="4"/>
        <v>74</v>
      </c>
      <c r="F25" s="39" t="str">
        <f t="shared" si="5"/>
        <v>A</v>
      </c>
      <c r="G25" s="38">
        <f t="shared" si="6"/>
        <v>4</v>
      </c>
      <c r="H25" s="41"/>
    </row>
    <row r="26">
      <c r="A26" s="5"/>
      <c r="B26" s="37" t="s">
        <v>48</v>
      </c>
      <c r="C26" s="38">
        <f>'9t'!L7</f>
        <v>24</v>
      </c>
      <c r="D26" s="38">
        <f>'9s'!L7</f>
        <v>42</v>
      </c>
      <c r="E26" s="38">
        <f t="shared" si="4"/>
        <v>66</v>
      </c>
      <c r="F26" s="39" t="str">
        <f t="shared" si="5"/>
        <v>A-</v>
      </c>
      <c r="G26" s="38">
        <f t="shared" si="6"/>
        <v>3.5</v>
      </c>
      <c r="H26" s="41"/>
    </row>
    <row r="27">
      <c r="A27" s="5"/>
      <c r="B27" s="38" t="s">
        <v>11</v>
      </c>
      <c r="C27" s="38">
        <f>'9t'!M7</f>
        <v>25</v>
      </c>
      <c r="D27" s="38">
        <f>'9s'!M7</f>
        <v>56</v>
      </c>
      <c r="E27" s="38">
        <f t="shared" si="4"/>
        <v>81</v>
      </c>
      <c r="F27" s="39" t="str">
        <f t="shared" si="5"/>
        <v>A+</v>
      </c>
      <c r="G27" s="38">
        <f t="shared" si="6"/>
        <v>5</v>
      </c>
      <c r="H27" s="41"/>
    </row>
    <row r="28">
      <c r="A28" s="8"/>
      <c r="B28" s="37" t="s">
        <v>49</v>
      </c>
      <c r="C28" s="38">
        <f>'9t'!N7</f>
        <v>14</v>
      </c>
      <c r="D28" s="38">
        <f>'9s'!N7</f>
        <v>14</v>
      </c>
      <c r="E28" s="38">
        <f t="shared" si="4"/>
        <v>28</v>
      </c>
      <c r="F28" s="38" t="str">
        <f>IF(E28&gt;=40,"A+",
IF(E28&gt;=35,"A",
IF(E28&gt;=30,"A-",
IF(E28&gt;=25,"B",
IF(E28&gt;=20,"C",
IF(E28&gt;=16,"D","F"))))))
</f>
        <v>B</v>
      </c>
      <c r="G28" s="38">
        <f>IF(E28&gt;=40,5,
IF(E28&gt;=35,4,
IF(E28&gt;=30,3.5,
IF(E28&gt;=25,3,
IF(E28&gt;=20,2,
IF(E28&gt;=16,1,0))))))</f>
        <v>3</v>
      </c>
      <c r="H28" s="12"/>
    </row>
    <row r="29">
      <c r="A29" s="30" t="s">
        <v>3</v>
      </c>
      <c r="B29" s="31" t="s">
        <v>31</v>
      </c>
      <c r="C29" s="42" t="str">
        <f>'9s'!B8</f>
        <v>JAMELA AKTER</v>
      </c>
      <c r="D29" s="23"/>
      <c r="E29" s="23"/>
      <c r="F29" s="23"/>
      <c r="G29" s="23"/>
      <c r="H29" s="24"/>
    </row>
    <row r="30">
      <c r="A30" s="47">
        <v>3.0</v>
      </c>
      <c r="B30" s="35" t="s">
        <v>32</v>
      </c>
      <c r="C30" s="36" t="s">
        <v>33</v>
      </c>
      <c r="D30" s="36" t="s">
        <v>34</v>
      </c>
      <c r="E30" s="35" t="s">
        <v>35</v>
      </c>
      <c r="F30" s="36" t="s">
        <v>36</v>
      </c>
      <c r="G30" s="36" t="s">
        <v>37</v>
      </c>
      <c r="H30" s="36" t="s">
        <v>38</v>
      </c>
    </row>
    <row r="31">
      <c r="A31" s="5"/>
      <c r="B31" s="37" t="s">
        <v>44</v>
      </c>
      <c r="C31" s="37">
        <f>'9t'!C8</f>
        <v>26</v>
      </c>
      <c r="D31" s="37">
        <f>'9s'!C8</f>
        <v>50</v>
      </c>
      <c r="E31" s="38">
        <f t="shared" ref="E31:E42" si="7">SUM(C31:D31)</f>
        <v>76</v>
      </c>
      <c r="F31" s="39" t="str">
        <f>IF(E31&gt;=80,"A+",
IF(E31&gt;=70,"A",
IF(E31&gt;=60,"A-",
IF(E31&gt;=50,"B",
IF(E31&gt;=40,"C",
IF(E31&gt;=33,"D","F"))))))
</f>
        <v>A</v>
      </c>
      <c r="G31" s="38">
        <f>IF(E31&gt;=80,5,
IF(E31&gt;=70,4,
IF(E31&gt;=60,3.5,
IF(E31&gt;=50,3,
IF(E31&gt;=40,2,
IF(E31&gt;=33,1,0))))))</f>
        <v>4</v>
      </c>
      <c r="H31" s="40">
        <f>AVERAGE(
VALUE(G31),
VALUE(G32),
VALUE(G33),
VALUE(G34),
VALUE(G35),
VALUE(G36),
VALUE(G37),
VALUE(G38),
VALUE(G39),
VALUE(G40),
VALUE(G41),
VALUE(G42))</f>
        <v>3.208333333</v>
      </c>
    </row>
    <row r="32">
      <c r="A32" s="5"/>
      <c r="B32" s="37" t="s">
        <v>45</v>
      </c>
      <c r="C32" s="37" t="str">
        <f>'9t'!D8</f>
        <v/>
      </c>
      <c r="D32" s="37">
        <f>'9s'!D8</f>
        <v>43</v>
      </c>
      <c r="E32" s="38">
        <f t="shared" si="7"/>
        <v>43</v>
      </c>
      <c r="F32" s="38" t="str">
        <f>IF(E32&gt;=40,"A+",
IF(E32&gt;=35,"A",
IF(E32&gt;=30,"A-",
IF(E32&gt;=25,"B",
IF(E32&gt;=20,"C",
IF(E32&gt;=16,"D","F"))))))
</f>
        <v>A+</v>
      </c>
      <c r="G32" s="38">
        <f>IF(E32&gt;=40,5,
IF(E32&gt;=35,4,
IF(E32&gt;=30,3.5,
IF(E32&gt;=25,3,
IF(E32&gt;=20,2,
IF(E32&gt;=16,1,0))))))</f>
        <v>5</v>
      </c>
      <c r="H32" s="41"/>
    </row>
    <row r="33">
      <c r="A33" s="5"/>
      <c r="B33" s="37" t="s">
        <v>57</v>
      </c>
      <c r="C33" s="37">
        <f>'9t'!E8</f>
        <v>21</v>
      </c>
      <c r="D33" s="37">
        <f>'9s'!E8</f>
        <v>34</v>
      </c>
      <c r="E33" s="38">
        <f t="shared" si="7"/>
        <v>55</v>
      </c>
      <c r="F33" s="39" t="str">
        <f>IF(E33&gt;=80,"A+",
IF(E33&gt;=70,"A",
IF(E33&gt;=60,"A-",
IF(E33&gt;=50,"B",
IF(E33&gt;=40,"C",
IF(E33&gt;=33,"D","F"))))))
</f>
        <v>B</v>
      </c>
      <c r="G33" s="38">
        <f>IF(E33&gt;=80,5,
IF(E33&gt;=70,4,
IF(E33&gt;=60,3.5,
IF(E33&gt;=50,3,
IF(E33&gt;=40,2,
IF(E33&gt;=33,1,0))))))</f>
        <v>3</v>
      </c>
      <c r="H33" s="41"/>
    </row>
    <row r="34">
      <c r="A34" s="5"/>
      <c r="B34" s="37" t="s">
        <v>58</v>
      </c>
      <c r="C34" s="37" t="str">
        <f>'9t'!F8</f>
        <v/>
      </c>
      <c r="D34" s="37">
        <f>'9s'!F8</f>
        <v>18</v>
      </c>
      <c r="E34" s="38">
        <f t="shared" si="7"/>
        <v>18</v>
      </c>
      <c r="F34" s="38" t="str">
        <f>IF(E34&gt;=40,"A+",
IF(E34&gt;=35,"A",
IF(E34&gt;=30,"A-",
IF(E34&gt;=25,"B",
IF(E34&gt;=20,"C",
IF(E34&gt;=16,"D","F"))))))
</f>
        <v>D</v>
      </c>
      <c r="G34" s="38">
        <f>IF(E34&gt;=40,5,
IF(E34&gt;=35,4,
IF(E34&gt;=30,3.5,
IF(E34&gt;=25,3,
IF(E34&gt;=20,2,
IF(E34&gt;=16,1,0))))))</f>
        <v>1</v>
      </c>
      <c r="H34" s="41"/>
    </row>
    <row r="35">
      <c r="A35" s="5"/>
      <c r="B35" s="38" t="s">
        <v>40</v>
      </c>
      <c r="C35" s="37">
        <f>'9t'!G8</f>
        <v>10</v>
      </c>
      <c r="D35" s="37">
        <f>'9s'!G8</f>
        <v>24</v>
      </c>
      <c r="E35" s="38">
        <f t="shared" si="7"/>
        <v>34</v>
      </c>
      <c r="F35" s="39" t="str">
        <f t="shared" ref="F35:F41" si="8">IF(E35&gt;=80,"A+",
IF(E35&gt;=70,"A",
IF(E35&gt;=60,"A-",
IF(E35&gt;=50,"B",
IF(E35&gt;=40,"C",
IF(E35&gt;=33,"D","F"))))))
</f>
        <v>D</v>
      </c>
      <c r="G35" s="38">
        <f t="shared" ref="G35:G41" si="9">IF(E35&gt;=80,5,
IF(E35&gt;=70,4,
IF(E35&gt;=60,3.5,
IF(E35&gt;=50,3,
IF(E35&gt;=40,2,
IF(E35&gt;=33,1,0))))))</f>
        <v>1</v>
      </c>
      <c r="H35" s="41"/>
    </row>
    <row r="36">
      <c r="A36" s="5"/>
      <c r="B36" s="37" t="s">
        <v>90</v>
      </c>
      <c r="C36" s="38">
        <f>'9t'!H8</f>
        <v>21</v>
      </c>
      <c r="D36" s="38">
        <f>'9s'!H8</f>
        <v>45</v>
      </c>
      <c r="E36" s="38">
        <f t="shared" si="7"/>
        <v>66</v>
      </c>
      <c r="F36" s="39" t="str">
        <f t="shared" si="8"/>
        <v>A-</v>
      </c>
      <c r="G36" s="38">
        <f t="shared" si="9"/>
        <v>3.5</v>
      </c>
      <c r="H36" s="41"/>
    </row>
    <row r="37">
      <c r="A37" s="5"/>
      <c r="B37" s="37" t="s">
        <v>91</v>
      </c>
      <c r="C37" s="37">
        <f>'9t'!I8</f>
        <v>17</v>
      </c>
      <c r="D37" s="37">
        <f>'9s'!I8</f>
        <v>24</v>
      </c>
      <c r="E37" s="38">
        <f t="shared" si="7"/>
        <v>41</v>
      </c>
      <c r="F37" s="39" t="str">
        <f t="shared" si="8"/>
        <v>C</v>
      </c>
      <c r="G37" s="38">
        <f t="shared" si="9"/>
        <v>2</v>
      </c>
      <c r="H37" s="41"/>
    </row>
    <row r="38">
      <c r="A38" s="5"/>
      <c r="B38" s="37" t="s">
        <v>92</v>
      </c>
      <c r="C38" s="38">
        <f>'9t'!J8</f>
        <v>11</v>
      </c>
      <c r="D38" s="38">
        <f>'9s'!J8</f>
        <v>32</v>
      </c>
      <c r="E38" s="38">
        <f t="shared" si="7"/>
        <v>43</v>
      </c>
      <c r="F38" s="39" t="str">
        <f t="shared" si="8"/>
        <v>C</v>
      </c>
      <c r="G38" s="38">
        <f t="shared" si="9"/>
        <v>2</v>
      </c>
      <c r="H38" s="41"/>
    </row>
    <row r="39">
      <c r="A39" s="5"/>
      <c r="B39" s="38" t="s">
        <v>10</v>
      </c>
      <c r="C39" s="38">
        <f>'9t'!K8</f>
        <v>16</v>
      </c>
      <c r="D39" s="38">
        <f>'9s'!K8</f>
        <v>45</v>
      </c>
      <c r="E39" s="38">
        <f t="shared" si="7"/>
        <v>61</v>
      </c>
      <c r="F39" s="39" t="str">
        <f t="shared" si="8"/>
        <v>A-</v>
      </c>
      <c r="G39" s="38">
        <f t="shared" si="9"/>
        <v>3.5</v>
      </c>
      <c r="H39" s="41"/>
    </row>
    <row r="40">
      <c r="A40" s="5"/>
      <c r="B40" s="37" t="s">
        <v>48</v>
      </c>
      <c r="C40" s="38">
        <f>'9t'!L8</f>
        <v>29</v>
      </c>
      <c r="D40" s="38">
        <f>'9s'!L8</f>
        <v>60</v>
      </c>
      <c r="E40" s="38">
        <f t="shared" si="7"/>
        <v>89</v>
      </c>
      <c r="F40" s="39" t="str">
        <f t="shared" si="8"/>
        <v>A+</v>
      </c>
      <c r="G40" s="38">
        <f t="shared" si="9"/>
        <v>5</v>
      </c>
      <c r="H40" s="41"/>
    </row>
    <row r="41">
      <c r="A41" s="5"/>
      <c r="B41" s="38" t="s">
        <v>11</v>
      </c>
      <c r="C41" s="38">
        <f>'9t'!M8</f>
        <v>26</v>
      </c>
      <c r="D41" s="38">
        <f>'9s'!M8</f>
        <v>58</v>
      </c>
      <c r="E41" s="38">
        <f t="shared" si="7"/>
        <v>84</v>
      </c>
      <c r="F41" s="39" t="str">
        <f t="shared" si="8"/>
        <v>A+</v>
      </c>
      <c r="G41" s="38">
        <f t="shared" si="9"/>
        <v>5</v>
      </c>
      <c r="H41" s="41"/>
    </row>
    <row r="42">
      <c r="A42" s="8"/>
      <c r="B42" s="37" t="s">
        <v>49</v>
      </c>
      <c r="C42" s="38">
        <f>'9t'!N8</f>
        <v>15</v>
      </c>
      <c r="D42" s="38">
        <f>'9s'!N8</f>
        <v>15</v>
      </c>
      <c r="E42" s="38">
        <f t="shared" si="7"/>
        <v>30</v>
      </c>
      <c r="F42" s="38" t="str">
        <f>IF(E42&gt;=40,"A+",
IF(E42&gt;=35,"A",
IF(E42&gt;=30,"A-",
IF(E42&gt;=25,"B",
IF(E42&gt;=20,"C",
IF(E42&gt;=16,"D","F"))))))
</f>
        <v>A-</v>
      </c>
      <c r="G42" s="38">
        <f>IF(E42&gt;=40,5,
IF(E42&gt;=35,4,
IF(E42&gt;=30,3.5,
IF(E42&gt;=25,3,
IF(E42&gt;=20,2,
IF(E42&gt;=16,1,0))))))</f>
        <v>3.5</v>
      </c>
      <c r="H42" s="12"/>
    </row>
    <row r="43">
      <c r="A43" s="30" t="s">
        <v>3</v>
      </c>
      <c r="B43" s="31" t="s">
        <v>31</v>
      </c>
      <c r="C43" s="42" t="str">
        <f>'9s'!B9</f>
        <v>NUPUR AKTER</v>
      </c>
      <c r="D43" s="23"/>
      <c r="E43" s="23"/>
      <c r="F43" s="23"/>
      <c r="G43" s="23"/>
      <c r="H43" s="24"/>
    </row>
    <row r="44">
      <c r="A44" s="47">
        <v>4.0</v>
      </c>
      <c r="B44" s="35" t="s">
        <v>32</v>
      </c>
      <c r="C44" s="36" t="s">
        <v>33</v>
      </c>
      <c r="D44" s="36" t="s">
        <v>34</v>
      </c>
      <c r="E44" s="35" t="s">
        <v>35</v>
      </c>
      <c r="F44" s="36" t="s">
        <v>36</v>
      </c>
      <c r="G44" s="36" t="s">
        <v>37</v>
      </c>
      <c r="H44" s="36" t="s">
        <v>38</v>
      </c>
    </row>
    <row r="45">
      <c r="A45" s="5"/>
      <c r="B45" s="37" t="s">
        <v>44</v>
      </c>
      <c r="C45" s="37">
        <f>'9t'!C9</f>
        <v>20</v>
      </c>
      <c r="D45" s="37">
        <f>'9s'!C9</f>
        <v>34</v>
      </c>
      <c r="E45" s="38">
        <f t="shared" ref="E45:E56" si="10">SUM(C45:D45)</f>
        <v>54</v>
      </c>
      <c r="F45" s="39" t="str">
        <f>IF(E45&gt;=80,"A+",
IF(E45&gt;=70,"A",
IF(E45&gt;=60,"A-",
IF(E45&gt;=50,"B",
IF(E45&gt;=40,"C",
IF(E45&gt;=33,"D","F"))))))
</f>
        <v>B</v>
      </c>
      <c r="G45" s="38">
        <f>IF(E45&gt;=80,5,
IF(E45&gt;=70,4,
IF(E45&gt;=60,3.5,
IF(E45&gt;=50,3,
IF(E45&gt;=40,2,
IF(E45&gt;=33,1,0))))))</f>
        <v>3</v>
      </c>
      <c r="H45" s="40">
        <f>AVERAGE(
VALUE(G45),
VALUE(G46),
VALUE(G47),
VALUE(G48),
VALUE(G49),
VALUE(G50),
VALUE(G51),
VALUE(G52),
VALUE(G53),
VALUE(G54),
VALUE(G55),
VALUE(G56))</f>
        <v>1.333333333</v>
      </c>
    </row>
    <row r="46">
      <c r="A46" s="5"/>
      <c r="B46" s="37" t="s">
        <v>45</v>
      </c>
      <c r="C46" s="37" t="str">
        <f>'9t'!D9</f>
        <v/>
      </c>
      <c r="D46" s="37">
        <f>'9s'!D9</f>
        <v>22</v>
      </c>
      <c r="E46" s="38">
        <f t="shared" si="10"/>
        <v>22</v>
      </c>
      <c r="F46" s="38" t="str">
        <f>IF(E46&gt;=40,"A+",
IF(E46&gt;=35,"A",
IF(E46&gt;=30,"A-",
IF(E46&gt;=25,"B",
IF(E46&gt;=20,"C",
IF(E46&gt;=16,"D","F"))))))
</f>
        <v>C</v>
      </c>
      <c r="G46" s="38">
        <f>IF(E46&gt;=40,5,
IF(E46&gt;=35,4,
IF(E46&gt;=30,3.5,
IF(E46&gt;=25,3,
IF(E46&gt;=20,2,
IF(E46&gt;=16,1,0))))))</f>
        <v>2</v>
      </c>
      <c r="H46" s="41"/>
    </row>
    <row r="47">
      <c r="A47" s="5"/>
      <c r="B47" s="37" t="s">
        <v>57</v>
      </c>
      <c r="C47" s="37">
        <f>'9t'!E9</f>
        <v>14</v>
      </c>
      <c r="D47" s="37">
        <f>'9s'!E9</f>
        <v>25</v>
      </c>
      <c r="E47" s="38">
        <f t="shared" si="10"/>
        <v>39</v>
      </c>
      <c r="F47" s="39" t="str">
        <f>IF(E47&gt;=80,"A+",
IF(E47&gt;=70,"A",
IF(E47&gt;=60,"A-",
IF(E47&gt;=50,"B",
IF(E47&gt;=40,"C",
IF(E47&gt;=33,"D","F"))))))
</f>
        <v>D</v>
      </c>
      <c r="G47" s="38">
        <f>IF(E47&gt;=80,5,
IF(E47&gt;=70,4,
IF(E47&gt;=60,3.5,
IF(E47&gt;=50,3,
IF(E47&gt;=40,2,
IF(E47&gt;=33,1,0))))))</f>
        <v>1</v>
      </c>
      <c r="H47" s="41"/>
    </row>
    <row r="48">
      <c r="A48" s="5"/>
      <c r="B48" s="37" t="s">
        <v>58</v>
      </c>
      <c r="C48" s="37" t="str">
        <f>'9t'!F9</f>
        <v/>
      </c>
      <c r="D48" s="37">
        <f>'9s'!F9</f>
        <v>17</v>
      </c>
      <c r="E48" s="38">
        <f t="shared" si="10"/>
        <v>17</v>
      </c>
      <c r="F48" s="38" t="str">
        <f>IF(E48&gt;=40,"A+",
IF(E48&gt;=35,"A",
IF(E48&gt;=30,"A-",
IF(E48&gt;=25,"B",
IF(E48&gt;=20,"C",
IF(E48&gt;=16,"D","F"))))))
</f>
        <v>D</v>
      </c>
      <c r="G48" s="38">
        <f>IF(E48&gt;=40,5,
IF(E48&gt;=35,4,
IF(E48&gt;=30,3.5,
IF(E48&gt;=25,3,
IF(E48&gt;=20,2,
IF(E48&gt;=16,1,0))))))</f>
        <v>1</v>
      </c>
      <c r="H48" s="41"/>
    </row>
    <row r="49">
      <c r="A49" s="5"/>
      <c r="B49" s="38" t="s">
        <v>40</v>
      </c>
      <c r="C49" s="37">
        <f>'9t'!G9</f>
        <v>9</v>
      </c>
      <c r="D49" s="37">
        <f>'9s'!G9</f>
        <v>24</v>
      </c>
      <c r="E49" s="38">
        <f t="shared" si="10"/>
        <v>33</v>
      </c>
      <c r="F49" s="39" t="str">
        <f t="shared" ref="F49:F55" si="11">IF(E49&gt;=80,"A+",
IF(E49&gt;=70,"A",
IF(E49&gt;=60,"A-",
IF(E49&gt;=50,"B",
IF(E49&gt;=40,"C",
IF(E49&gt;=33,"D","F"))))))
</f>
        <v>D</v>
      </c>
      <c r="G49" s="38">
        <f t="shared" ref="G49:G55" si="12">IF(E49&gt;=80,5,
IF(E49&gt;=70,4,
IF(E49&gt;=60,3.5,
IF(E49&gt;=50,3,
IF(E49&gt;=40,2,
IF(E49&gt;=33,1,0))))))</f>
        <v>1</v>
      </c>
      <c r="H49" s="41"/>
    </row>
    <row r="50">
      <c r="A50" s="5"/>
      <c r="B50" s="37" t="s">
        <v>90</v>
      </c>
      <c r="C50" s="38">
        <f>'9t'!H9</f>
        <v>10</v>
      </c>
      <c r="D50" s="38">
        <f>'9s'!H9</f>
        <v>24</v>
      </c>
      <c r="E50" s="38">
        <f t="shared" si="10"/>
        <v>34</v>
      </c>
      <c r="F50" s="39" t="str">
        <f t="shared" si="11"/>
        <v>D</v>
      </c>
      <c r="G50" s="38">
        <f t="shared" si="12"/>
        <v>1</v>
      </c>
      <c r="H50" s="41"/>
    </row>
    <row r="51">
      <c r="A51" s="5"/>
      <c r="B51" s="37" t="s">
        <v>91</v>
      </c>
      <c r="C51" s="37">
        <f>'9t'!I9</f>
        <v>10</v>
      </c>
      <c r="D51" s="37">
        <f>'9s'!I9</f>
        <v>24</v>
      </c>
      <c r="E51" s="38">
        <f t="shared" si="10"/>
        <v>34</v>
      </c>
      <c r="F51" s="39" t="str">
        <f t="shared" si="11"/>
        <v>D</v>
      </c>
      <c r="G51" s="38">
        <f t="shared" si="12"/>
        <v>1</v>
      </c>
      <c r="H51" s="41"/>
    </row>
    <row r="52">
      <c r="A52" s="5"/>
      <c r="B52" s="37" t="s">
        <v>92</v>
      </c>
      <c r="C52" s="38">
        <f>'9t'!J9</f>
        <v>10</v>
      </c>
      <c r="D52" s="38">
        <f>'9s'!J9</f>
        <v>12</v>
      </c>
      <c r="E52" s="38">
        <f t="shared" si="10"/>
        <v>22</v>
      </c>
      <c r="F52" s="39" t="str">
        <f t="shared" si="11"/>
        <v>F</v>
      </c>
      <c r="G52" s="38">
        <f t="shared" si="12"/>
        <v>0</v>
      </c>
      <c r="H52" s="41"/>
    </row>
    <row r="53">
      <c r="A53" s="5"/>
      <c r="B53" s="38" t="s">
        <v>10</v>
      </c>
      <c r="C53" s="38">
        <f>'9t'!K9</f>
        <v>10</v>
      </c>
      <c r="D53" s="38">
        <f>'9s'!K9</f>
        <v>24</v>
      </c>
      <c r="E53" s="38">
        <f t="shared" si="10"/>
        <v>34</v>
      </c>
      <c r="F53" s="39" t="str">
        <f t="shared" si="11"/>
        <v>D</v>
      </c>
      <c r="G53" s="38">
        <f t="shared" si="12"/>
        <v>1</v>
      </c>
      <c r="H53" s="41"/>
    </row>
    <row r="54">
      <c r="A54" s="5"/>
      <c r="B54" s="37" t="s">
        <v>48</v>
      </c>
      <c r="C54" s="38">
        <f>'9t'!L9</f>
        <v>11</v>
      </c>
      <c r="D54" s="38">
        <f>'9s'!L9</f>
        <v>24</v>
      </c>
      <c r="E54" s="38">
        <f t="shared" si="10"/>
        <v>35</v>
      </c>
      <c r="F54" s="39" t="str">
        <f t="shared" si="11"/>
        <v>D</v>
      </c>
      <c r="G54" s="38">
        <f t="shared" si="12"/>
        <v>1</v>
      </c>
      <c r="H54" s="41"/>
    </row>
    <row r="55">
      <c r="A55" s="5"/>
      <c r="B55" s="38" t="s">
        <v>11</v>
      </c>
      <c r="C55" s="38">
        <f>'9t'!M9</f>
        <v>12</v>
      </c>
      <c r="D55" s="38">
        <f>'9s'!M9</f>
        <v>24</v>
      </c>
      <c r="E55" s="38">
        <f t="shared" si="10"/>
        <v>36</v>
      </c>
      <c r="F55" s="39" t="str">
        <f t="shared" si="11"/>
        <v>D</v>
      </c>
      <c r="G55" s="38">
        <f t="shared" si="12"/>
        <v>1</v>
      </c>
      <c r="H55" s="41"/>
    </row>
    <row r="56">
      <c r="A56" s="8"/>
      <c r="B56" s="37" t="s">
        <v>49</v>
      </c>
      <c r="C56" s="38">
        <f>'9t'!N9</f>
        <v>13</v>
      </c>
      <c r="D56" s="38">
        <f>'9s'!N9</f>
        <v>13</v>
      </c>
      <c r="E56" s="38">
        <f t="shared" si="10"/>
        <v>26</v>
      </c>
      <c r="F56" s="38" t="str">
        <f>IF(E56&gt;=40,"A+",
IF(E56&gt;=35,"A",
IF(E56&gt;=30,"A-",
IF(E56&gt;=25,"B",
IF(E56&gt;=20,"C",
IF(E56&gt;=16,"D","F"))))))
</f>
        <v>B</v>
      </c>
      <c r="G56" s="38">
        <f>IF(E56&gt;=40,5,
IF(E56&gt;=35,4,
IF(E56&gt;=30,3.5,
IF(E56&gt;=25,3,
IF(E56&gt;=20,2,
IF(E56&gt;=16,1,0))))))</f>
        <v>3</v>
      </c>
      <c r="H56" s="12"/>
    </row>
  </sheetData>
  <mergeCells count="12">
    <mergeCell ref="H17:H28"/>
    <mergeCell ref="H31:H42"/>
    <mergeCell ref="H45:H56"/>
    <mergeCell ref="A30:A42"/>
    <mergeCell ref="A44:A56"/>
    <mergeCell ref="C1:H1"/>
    <mergeCell ref="A2:A14"/>
    <mergeCell ref="H3:H14"/>
    <mergeCell ref="C15:H15"/>
    <mergeCell ref="A16:A28"/>
    <mergeCell ref="C29:H29"/>
    <mergeCell ref="C43:H4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75"/>
    <col customWidth="1" min="2" max="2" width="22.63"/>
    <col customWidth="1" min="3" max="3" width="17.5"/>
    <col customWidth="1" min="4" max="4" width="17.0"/>
    <col customWidth="1" min="5" max="22" width="14.38"/>
  </cols>
  <sheetData>
    <row r="1" ht="26.25" customHeight="1">
      <c r="A1" s="43" t="s">
        <v>0</v>
      </c>
      <c r="B1" s="23"/>
      <c r="C1" s="23"/>
      <c r="D1" s="2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15.75" customHeight="1">
      <c r="A2" s="44" t="s">
        <v>42</v>
      </c>
      <c r="B2" s="23"/>
      <c r="C2" s="23"/>
      <c r="D2" s="24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ht="15.75" customHeight="1">
      <c r="A3" s="45" t="s">
        <v>93</v>
      </c>
      <c r="B3" s="23"/>
      <c r="C3" s="23"/>
      <c r="D3" s="24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ht="15.75" customHeight="1">
      <c r="A4" s="20" t="s">
        <v>3</v>
      </c>
      <c r="B4" s="21" t="s">
        <v>4</v>
      </c>
      <c r="C4" s="22" t="s">
        <v>13</v>
      </c>
      <c r="D4" s="24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ht="15.75" customHeight="1">
      <c r="A5" s="12"/>
      <c r="B5" s="12"/>
      <c r="C5" s="14" t="s">
        <v>38</v>
      </c>
      <c r="D5" s="14" t="s">
        <v>13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ht="15.75" customHeight="1">
      <c r="A6" s="15">
        <v>1.0</v>
      </c>
      <c r="B6" s="16" t="s">
        <v>86</v>
      </c>
      <c r="C6" s="46">
        <f>'9'!H3</f>
        <v>3.916666667</v>
      </c>
      <c r="D6" s="15">
        <f t="shared" ref="D6:D9" si="1">RANK(C6,$C$6:$C$9)</f>
        <v>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ht="15.75" customHeight="1">
      <c r="A7" s="15">
        <v>2.0</v>
      </c>
      <c r="B7" s="16" t="s">
        <v>87</v>
      </c>
      <c r="C7" s="46">
        <f>'9'!H17</f>
        <v>2.916666667</v>
      </c>
      <c r="D7" s="15">
        <f t="shared" si="1"/>
        <v>3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ht="15.75" customHeight="1">
      <c r="A8" s="15">
        <v>3.0</v>
      </c>
      <c r="B8" s="16" t="s">
        <v>88</v>
      </c>
      <c r="C8" s="46">
        <f>'9'!H31</f>
        <v>3.208333333</v>
      </c>
      <c r="D8" s="15">
        <f t="shared" si="1"/>
        <v>2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ht="15.75" customHeight="1">
      <c r="A9" s="15">
        <v>4.0</v>
      </c>
      <c r="B9" s="16" t="s">
        <v>89</v>
      </c>
      <c r="C9" s="46">
        <f>'9'!H45</f>
        <v>1.333333333</v>
      </c>
      <c r="D9" s="15">
        <f t="shared" si="1"/>
        <v>4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ht="15.75" customHeight="1">
      <c r="A10" s="19"/>
      <c r="B10" s="27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ht="15.75" customHeight="1">
      <c r="A11" s="19"/>
      <c r="B11" s="27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ht="15.75" customHeight="1">
      <c r="A12" s="19"/>
      <c r="B12" s="27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ht="15.75" customHeight="1">
      <c r="A13" s="19"/>
      <c r="B13" s="27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ht="15.75" customHeight="1">
      <c r="A14" s="19"/>
      <c r="B14" s="27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ht="15.75" customHeight="1">
      <c r="A15" s="19"/>
      <c r="B15" s="27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ht="15.75" customHeight="1">
      <c r="A16" s="19"/>
      <c r="B16" s="27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ht="15.75" customHeight="1">
      <c r="A17" s="19"/>
      <c r="B17" s="27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ht="15.75" customHeight="1">
      <c r="A18" s="19"/>
      <c r="B18" s="2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ht="15.75" customHeight="1">
      <c r="A19" s="19"/>
      <c r="B19" s="27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15.75" customHeight="1">
      <c r="A20" s="19"/>
      <c r="B20" s="27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15.75" customHeight="1">
      <c r="A21" s="19"/>
      <c r="B21" s="27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15.75" customHeight="1">
      <c r="A22" s="19"/>
      <c r="B22" s="27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15.75" customHeight="1">
      <c r="A23" s="19"/>
      <c r="B23" s="27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15.75" customHeight="1">
      <c r="A24" s="19"/>
      <c r="B24" s="27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15.75" customHeight="1">
      <c r="A25" s="19"/>
      <c r="B25" s="27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15.75" customHeight="1">
      <c r="A26" s="19"/>
      <c r="B26" s="27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15.75" customHeight="1">
      <c r="A27" s="19"/>
      <c r="B27" s="27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15.75" customHeight="1">
      <c r="A28" s="19"/>
      <c r="B28" s="27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15.75" customHeight="1">
      <c r="A29" s="19"/>
      <c r="B29" s="27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15.75" customHeight="1">
      <c r="A30" s="19"/>
      <c r="B30" s="27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15.75" customHeight="1">
      <c r="A31" s="19"/>
      <c r="B31" s="27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15.75" customHeight="1">
      <c r="A32" s="19"/>
      <c r="B32" s="27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15.75" customHeight="1">
      <c r="A33" s="19"/>
      <c r="B33" s="27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5.75" customHeight="1">
      <c r="A34" s="19"/>
      <c r="B34" s="27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15.75" customHeight="1">
      <c r="A35" s="19"/>
      <c r="B35" s="27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75" customHeight="1">
      <c r="A36" s="19"/>
      <c r="B36" s="2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75" customHeight="1">
      <c r="A37" s="19"/>
      <c r="B37" s="27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5.75" customHeight="1">
      <c r="A38" s="19"/>
      <c r="B38" s="27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5.75" customHeight="1">
      <c r="A39" s="19"/>
      <c r="B39" s="27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75" customHeight="1">
      <c r="A40" s="19"/>
      <c r="B40" s="27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15.75" customHeight="1">
      <c r="A41" s="19"/>
      <c r="B41" s="27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75" customHeight="1">
      <c r="A42" s="19"/>
      <c r="B42" s="27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5.75" customHeight="1">
      <c r="A43" s="19"/>
      <c r="B43" s="27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15.75" customHeight="1">
      <c r="A44" s="19"/>
      <c r="B44" s="27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15.75" customHeight="1">
      <c r="A45" s="19"/>
      <c r="B45" s="27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5.75" customHeight="1">
      <c r="A46" s="19"/>
      <c r="B46" s="27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5.75" customHeight="1">
      <c r="A47" s="19"/>
      <c r="B47" s="27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75" customHeight="1">
      <c r="A48" s="19"/>
      <c r="B48" s="27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5.75" customHeight="1">
      <c r="A49" s="19"/>
      <c r="B49" s="27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5.75" customHeight="1">
      <c r="A50" s="19"/>
      <c r="B50" s="27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75" customHeight="1">
      <c r="A51" s="19"/>
      <c r="B51" s="27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75" customHeight="1">
      <c r="A52" s="19"/>
      <c r="B52" s="27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15.75" customHeight="1">
      <c r="A53" s="19"/>
      <c r="B53" s="27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15.75" customHeight="1">
      <c r="A54" s="19"/>
      <c r="B54" s="27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15.75" customHeight="1">
      <c r="A55" s="19"/>
      <c r="B55" s="27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15.75" customHeight="1">
      <c r="A56" s="19"/>
      <c r="B56" s="27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15.75" customHeight="1">
      <c r="A57" s="19"/>
      <c r="B57" s="27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15.75" customHeight="1">
      <c r="A58" s="19"/>
      <c r="B58" s="27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15.75" customHeight="1">
      <c r="A59" s="19"/>
      <c r="B59" s="27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75" customHeight="1">
      <c r="A60" s="19"/>
      <c r="B60" s="27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75" customHeight="1">
      <c r="A61" s="19"/>
      <c r="B61" s="27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15.75" customHeight="1">
      <c r="A62" s="19"/>
      <c r="B62" s="27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5.75" customHeight="1">
      <c r="A63" s="19"/>
      <c r="B63" s="27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5.75" customHeight="1">
      <c r="A64" s="19"/>
      <c r="B64" s="27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15.75" customHeight="1">
      <c r="A65" s="19"/>
      <c r="B65" s="27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15.75" customHeight="1">
      <c r="A66" s="19"/>
      <c r="B66" s="27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5.75" customHeight="1">
      <c r="A67" s="19"/>
      <c r="B67" s="27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75" customHeight="1">
      <c r="A68" s="19"/>
      <c r="B68" s="27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75" customHeight="1">
      <c r="A69" s="19"/>
      <c r="B69" s="27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5.75" customHeight="1">
      <c r="A70" s="19"/>
      <c r="B70" s="27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5.75" customHeight="1">
      <c r="A71" s="19"/>
      <c r="B71" s="27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5.75" customHeight="1">
      <c r="A72" s="19"/>
      <c r="B72" s="27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5.75" customHeight="1">
      <c r="A73" s="19"/>
      <c r="B73" s="27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5.75" customHeight="1">
      <c r="A74" s="19"/>
      <c r="B74" s="27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5.75" customHeight="1">
      <c r="A75" s="19"/>
      <c r="B75" s="27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5.75" customHeight="1">
      <c r="A76" s="19"/>
      <c r="B76" s="27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5.75" customHeight="1">
      <c r="A77" s="19"/>
      <c r="B77" s="27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75" customHeight="1">
      <c r="A78" s="19"/>
      <c r="B78" s="27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5.75" customHeight="1">
      <c r="A79" s="19"/>
      <c r="B79" s="27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5.75" customHeight="1">
      <c r="A80" s="19"/>
      <c r="B80" s="27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5.75" customHeight="1">
      <c r="A81" s="19"/>
      <c r="B81" s="27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15.75" customHeight="1">
      <c r="A82" s="19"/>
      <c r="B82" s="27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15.75" customHeight="1">
      <c r="A83" s="19"/>
      <c r="B83" s="27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15.75" customHeight="1">
      <c r="A84" s="19"/>
      <c r="B84" s="27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15.75" customHeight="1">
      <c r="A85" s="19"/>
      <c r="B85" s="27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5.75" customHeight="1">
      <c r="A86" s="19"/>
      <c r="B86" s="27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15.75" customHeight="1">
      <c r="A87" s="19"/>
      <c r="B87" s="27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15.75" customHeight="1">
      <c r="A88" s="19"/>
      <c r="B88" s="27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15.75" customHeight="1">
      <c r="A89" s="19"/>
      <c r="B89" s="27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15.75" customHeight="1">
      <c r="A90" s="19"/>
      <c r="B90" s="27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5.75" customHeight="1">
      <c r="A91" s="19"/>
      <c r="B91" s="27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15.75" customHeight="1">
      <c r="A92" s="19"/>
      <c r="B92" s="27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15.75" customHeight="1">
      <c r="A93" s="19"/>
      <c r="B93" s="27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75" customHeight="1">
      <c r="A94" s="19"/>
      <c r="B94" s="27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75" customHeight="1">
      <c r="A95" s="19"/>
      <c r="B95" s="27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5.75" customHeight="1">
      <c r="A96" s="19"/>
      <c r="B96" s="27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5.75" customHeight="1">
      <c r="A97" s="19"/>
      <c r="B97" s="27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5.75" customHeight="1">
      <c r="A98" s="19"/>
      <c r="B98" s="27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5.75" customHeight="1">
      <c r="A99" s="19"/>
      <c r="B99" s="27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5.75" customHeight="1">
      <c r="A100" s="19"/>
      <c r="B100" s="27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75" customHeight="1">
      <c r="A101" s="19"/>
      <c r="B101" s="27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5.75" customHeight="1">
      <c r="A102" s="19"/>
      <c r="B102" s="27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15.75" customHeight="1">
      <c r="A103" s="19"/>
      <c r="B103" s="27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5.75" customHeight="1">
      <c r="A104" s="19"/>
      <c r="B104" s="27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15.75" customHeight="1">
      <c r="A105" s="19"/>
      <c r="B105" s="27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15.75" customHeight="1">
      <c r="A106" s="19"/>
      <c r="B106" s="27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15.75" customHeight="1">
      <c r="A107" s="19"/>
      <c r="B107" s="27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15.75" customHeight="1">
      <c r="A108" s="19"/>
      <c r="B108" s="27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15.75" customHeight="1">
      <c r="A109" s="19"/>
      <c r="B109" s="27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15.75" customHeight="1">
      <c r="A110" s="19"/>
      <c r="B110" s="27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15.75" customHeight="1">
      <c r="A111" s="19"/>
      <c r="B111" s="27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15.75" customHeight="1">
      <c r="A112" s="19"/>
      <c r="B112" s="27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75" customHeight="1">
      <c r="A113" s="19"/>
      <c r="B113" s="27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15.75" customHeight="1">
      <c r="A114" s="19"/>
      <c r="B114" s="27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15.75" customHeight="1">
      <c r="A115" s="19"/>
      <c r="B115" s="27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15.75" customHeight="1">
      <c r="A116" s="19"/>
      <c r="B116" s="27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15.75" customHeight="1">
      <c r="A117" s="19"/>
      <c r="B117" s="27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5.75" customHeight="1">
      <c r="A118" s="19"/>
      <c r="B118" s="27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15.75" customHeight="1">
      <c r="A119" s="19"/>
      <c r="B119" s="27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5.75" customHeight="1">
      <c r="A120" s="19"/>
      <c r="B120" s="27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5.75" customHeight="1">
      <c r="A121" s="19"/>
      <c r="B121" s="27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15.75" customHeight="1">
      <c r="A122" s="19"/>
      <c r="B122" s="27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15.75" customHeight="1">
      <c r="A123" s="19"/>
      <c r="B123" s="27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15.75" customHeight="1">
      <c r="A124" s="19"/>
      <c r="B124" s="27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15.75" customHeight="1">
      <c r="A125" s="19"/>
      <c r="B125" s="27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5.75" customHeight="1">
      <c r="A126" s="19"/>
      <c r="B126" s="27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5.75" customHeight="1">
      <c r="A127" s="19"/>
      <c r="B127" s="27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15.75" customHeight="1">
      <c r="A128" s="19"/>
      <c r="B128" s="27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5.75" customHeight="1">
      <c r="A129" s="19"/>
      <c r="B129" s="27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5.75" customHeight="1">
      <c r="A130" s="19"/>
      <c r="B130" s="27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15.75" customHeight="1">
      <c r="A131" s="19"/>
      <c r="B131" s="27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15.75" customHeight="1">
      <c r="A132" s="19"/>
      <c r="B132" s="27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15.75" customHeight="1">
      <c r="A133" s="19"/>
      <c r="B133" s="27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5.75" customHeight="1">
      <c r="A134" s="19"/>
      <c r="B134" s="27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15.75" customHeight="1">
      <c r="A135" s="19"/>
      <c r="B135" s="27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15.75" customHeight="1">
      <c r="A136" s="19"/>
      <c r="B136" s="27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15.75" customHeight="1">
      <c r="A137" s="19"/>
      <c r="B137" s="27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5.75" customHeight="1">
      <c r="A138" s="19"/>
      <c r="B138" s="27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15.75" customHeight="1">
      <c r="A139" s="19"/>
      <c r="B139" s="27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15.75" customHeight="1">
      <c r="A140" s="19"/>
      <c r="B140" s="27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15.75" customHeight="1">
      <c r="A141" s="19"/>
      <c r="B141" s="27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15.75" customHeight="1">
      <c r="A142" s="19"/>
      <c r="B142" s="27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15.75" customHeight="1">
      <c r="A143" s="19"/>
      <c r="B143" s="27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5.75" customHeight="1">
      <c r="A144" s="19"/>
      <c r="B144" s="27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15.75" customHeight="1">
      <c r="A145" s="19"/>
      <c r="B145" s="27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15.75" customHeight="1">
      <c r="A146" s="19"/>
      <c r="B146" s="27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15.75" customHeight="1">
      <c r="A147" s="19"/>
      <c r="B147" s="27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15.75" customHeight="1">
      <c r="A148" s="19"/>
      <c r="B148" s="27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15.75" customHeight="1">
      <c r="A149" s="19"/>
      <c r="B149" s="27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15.75" customHeight="1">
      <c r="A150" s="19"/>
      <c r="B150" s="27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15.75" customHeight="1">
      <c r="A151" s="19"/>
      <c r="B151" s="27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15.75" customHeight="1">
      <c r="A152" s="19"/>
      <c r="B152" s="27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15.75" customHeight="1">
      <c r="A153" s="19"/>
      <c r="B153" s="27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15.75" customHeight="1">
      <c r="A154" s="19"/>
      <c r="B154" s="27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15.75" customHeight="1">
      <c r="A155" s="19"/>
      <c r="B155" s="27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15.75" customHeight="1">
      <c r="A156" s="19"/>
      <c r="B156" s="27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15.75" customHeight="1">
      <c r="A157" s="19"/>
      <c r="B157" s="27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15.75" customHeight="1">
      <c r="A158" s="19"/>
      <c r="B158" s="27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15.75" customHeight="1">
      <c r="A159" s="19"/>
      <c r="B159" s="27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15.75" customHeight="1">
      <c r="A160" s="19"/>
      <c r="B160" s="27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15.75" customHeight="1">
      <c r="A161" s="19"/>
      <c r="B161" s="27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15.75" customHeight="1">
      <c r="A162" s="19"/>
      <c r="B162" s="27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15.75" customHeight="1">
      <c r="A163" s="19"/>
      <c r="B163" s="27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15.75" customHeight="1">
      <c r="A164" s="19"/>
      <c r="B164" s="27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15.75" customHeight="1">
      <c r="A165" s="19"/>
      <c r="B165" s="27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15.75" customHeight="1">
      <c r="A166" s="19"/>
      <c r="B166" s="27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15.75" customHeight="1">
      <c r="A167" s="19"/>
      <c r="B167" s="27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15.75" customHeight="1">
      <c r="A168" s="19"/>
      <c r="B168" s="27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15.75" customHeight="1">
      <c r="A169" s="19"/>
      <c r="B169" s="27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15.75" customHeight="1">
      <c r="A170" s="19"/>
      <c r="B170" s="27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15.75" customHeight="1">
      <c r="A171" s="19"/>
      <c r="B171" s="27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15.75" customHeight="1">
      <c r="A172" s="19"/>
      <c r="B172" s="27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15.75" customHeight="1">
      <c r="A173" s="19"/>
      <c r="B173" s="27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15.75" customHeight="1">
      <c r="A174" s="19"/>
      <c r="B174" s="27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15.75" customHeight="1">
      <c r="A175" s="19"/>
      <c r="B175" s="27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15.75" customHeight="1">
      <c r="A176" s="19"/>
      <c r="B176" s="27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15.75" customHeight="1">
      <c r="A177" s="19"/>
      <c r="B177" s="27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15.75" customHeight="1">
      <c r="A178" s="19"/>
      <c r="B178" s="27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15.75" customHeight="1">
      <c r="A179" s="19"/>
      <c r="B179" s="27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15.75" customHeight="1">
      <c r="A180" s="19"/>
      <c r="B180" s="27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15.75" customHeight="1">
      <c r="A181" s="19"/>
      <c r="B181" s="27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15.75" customHeight="1">
      <c r="A182" s="19"/>
      <c r="B182" s="27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15.75" customHeight="1">
      <c r="A183" s="19"/>
      <c r="B183" s="27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15.75" customHeight="1">
      <c r="A184" s="19"/>
      <c r="B184" s="27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15.75" customHeight="1">
      <c r="A185" s="19"/>
      <c r="B185" s="27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15.75" customHeight="1">
      <c r="A186" s="19"/>
      <c r="B186" s="27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15.75" customHeight="1">
      <c r="A187" s="19"/>
      <c r="B187" s="27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15.75" customHeight="1">
      <c r="A188" s="19"/>
      <c r="B188" s="27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15.75" customHeight="1">
      <c r="A189" s="19"/>
      <c r="B189" s="27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15.75" customHeight="1">
      <c r="A190" s="19"/>
      <c r="B190" s="27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15.75" customHeight="1">
      <c r="A191" s="19"/>
      <c r="B191" s="27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15.75" customHeight="1">
      <c r="A192" s="19"/>
      <c r="B192" s="27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15.75" customHeight="1">
      <c r="A193" s="19"/>
      <c r="B193" s="27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15.75" customHeight="1">
      <c r="A194" s="19"/>
      <c r="B194" s="27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15.75" customHeight="1">
      <c r="A195" s="19"/>
      <c r="B195" s="27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15.75" customHeight="1">
      <c r="A196" s="19"/>
      <c r="B196" s="27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15.75" customHeight="1">
      <c r="A197" s="19"/>
      <c r="B197" s="27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15.75" customHeight="1">
      <c r="A198" s="19"/>
      <c r="B198" s="27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15.75" customHeight="1">
      <c r="A199" s="19"/>
      <c r="B199" s="27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15.75" customHeight="1">
      <c r="A200" s="19"/>
      <c r="B200" s="27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15.75" customHeight="1">
      <c r="A201" s="28"/>
      <c r="B201" s="2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 ht="15.75" customHeight="1">
      <c r="A202" s="28"/>
      <c r="B202" s="2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 ht="15.75" customHeight="1">
      <c r="A203" s="28"/>
      <c r="B203" s="2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 ht="15.75" customHeight="1">
      <c r="A204" s="28"/>
      <c r="B204" s="2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 ht="15.75" customHeight="1">
      <c r="A205" s="28"/>
      <c r="B205" s="2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 ht="15.75" customHeight="1">
      <c r="A206" s="28"/>
      <c r="B206" s="2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 ht="15.75" customHeight="1">
      <c r="A207" s="28"/>
      <c r="B207" s="2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 ht="15.75" customHeight="1">
      <c r="A208" s="28"/>
      <c r="B208" s="2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 ht="15.75" customHeight="1">
      <c r="A209" s="28"/>
      <c r="B209" s="2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 ht="15.75" customHeight="1">
      <c r="A210" s="28"/>
      <c r="B210" s="2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ht="15.75" customHeight="1">
      <c r="A211" s="28"/>
      <c r="B211" s="2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ht="15.75" customHeight="1">
      <c r="A212" s="28"/>
      <c r="B212" s="2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ht="15.75" customHeight="1">
      <c r="A213" s="28"/>
      <c r="B213" s="2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ht="15.75" customHeight="1">
      <c r="A214" s="28"/>
      <c r="B214" s="2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ht="15.75" customHeight="1">
      <c r="A215" s="28"/>
      <c r="B215" s="2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ht="15.75" customHeight="1">
      <c r="A216" s="28"/>
      <c r="B216" s="2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ht="15.75" customHeight="1">
      <c r="A217" s="28"/>
      <c r="B217" s="2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ht="15.75" customHeight="1">
      <c r="A218" s="28"/>
      <c r="B218" s="2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ht="15.75" customHeight="1">
      <c r="A219" s="28"/>
      <c r="B219" s="2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ht="15.75" customHeight="1">
      <c r="A220" s="28"/>
      <c r="B220" s="2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 ht="15.75" customHeight="1">
      <c r="A221" s="28"/>
      <c r="B221" s="2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 ht="15.75" customHeight="1">
      <c r="A222" s="28"/>
      <c r="B222" s="2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ht="15.75" customHeight="1">
      <c r="A223" s="28"/>
      <c r="B223" s="2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 ht="15.75" customHeight="1">
      <c r="A224" s="28"/>
      <c r="B224" s="2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 ht="15.75" customHeight="1">
      <c r="A225" s="28"/>
      <c r="B225" s="2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 ht="15.75" customHeight="1">
      <c r="A226" s="28"/>
      <c r="B226" s="2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 ht="15.75" customHeight="1">
      <c r="A227" s="28"/>
      <c r="B227" s="2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 ht="15.75" customHeight="1">
      <c r="A228" s="28"/>
      <c r="B228" s="2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 ht="15.75" customHeight="1">
      <c r="A229" s="28"/>
      <c r="B229" s="2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 ht="15.75" customHeight="1">
      <c r="A230" s="28"/>
      <c r="B230" s="2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 ht="15.75" customHeight="1">
      <c r="A231" s="28"/>
      <c r="B231" s="2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 ht="15.75" customHeight="1">
      <c r="A232" s="28"/>
      <c r="B232" s="2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 ht="15.75" customHeight="1">
      <c r="A233" s="28"/>
      <c r="B233" s="2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 ht="15.75" customHeight="1">
      <c r="A234" s="28"/>
      <c r="B234" s="2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 ht="15.75" customHeight="1">
      <c r="A235" s="28"/>
      <c r="B235" s="2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 ht="15.75" customHeight="1">
      <c r="A236" s="28"/>
      <c r="B236" s="2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 ht="15.75" customHeight="1">
      <c r="A237" s="28"/>
      <c r="B237" s="2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 ht="15.75" customHeight="1">
      <c r="A238" s="28"/>
      <c r="B238" s="2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 ht="15.75" customHeight="1">
      <c r="A239" s="28"/>
      <c r="B239" s="2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 ht="15.75" customHeight="1">
      <c r="A240" s="28"/>
      <c r="B240" s="2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 ht="15.75" customHeight="1">
      <c r="A241" s="28"/>
      <c r="B241" s="2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 ht="15.75" customHeight="1">
      <c r="A242" s="28"/>
      <c r="B242" s="2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 ht="15.75" customHeight="1">
      <c r="A243" s="28"/>
      <c r="B243" s="2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 ht="15.75" customHeight="1">
      <c r="A244" s="28"/>
      <c r="B244" s="2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 ht="15.75" customHeight="1">
      <c r="A245" s="28"/>
      <c r="B245" s="2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 ht="15.75" customHeight="1">
      <c r="A246" s="28"/>
      <c r="B246" s="2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 ht="15.75" customHeight="1">
      <c r="A247" s="28"/>
      <c r="B247" s="2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 ht="15.75" customHeight="1">
      <c r="A248" s="28"/>
      <c r="B248" s="2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 ht="15.75" customHeight="1">
      <c r="A249" s="28"/>
      <c r="B249" s="2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 ht="15.75" customHeight="1">
      <c r="A250" s="28"/>
      <c r="B250" s="2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 ht="15.75" customHeight="1">
      <c r="A251" s="28"/>
      <c r="B251" s="2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 ht="15.75" customHeight="1">
      <c r="A252" s="28"/>
      <c r="B252" s="2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 ht="15.75" customHeight="1">
      <c r="A253" s="28"/>
      <c r="B253" s="2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 ht="15.75" customHeight="1">
      <c r="A254" s="28"/>
      <c r="B254" s="2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 ht="15.75" customHeight="1">
      <c r="A255" s="28"/>
      <c r="B255" s="2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 ht="15.75" customHeight="1">
      <c r="A256" s="28"/>
      <c r="B256" s="2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 ht="15.75" customHeight="1">
      <c r="A257" s="28"/>
      <c r="B257" s="2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 ht="15.75" customHeight="1">
      <c r="A258" s="28"/>
      <c r="B258" s="2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 ht="15.75" customHeight="1">
      <c r="A259" s="28"/>
      <c r="B259" s="2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 ht="15.75" customHeight="1">
      <c r="A260" s="28"/>
      <c r="B260" s="2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 ht="15.75" customHeight="1">
      <c r="A261" s="28"/>
      <c r="B261" s="2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 ht="15.75" customHeight="1">
      <c r="A262" s="28"/>
      <c r="B262" s="2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 ht="15.75" customHeight="1">
      <c r="A263" s="28"/>
      <c r="B263" s="2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 ht="15.75" customHeight="1">
      <c r="A264" s="28"/>
      <c r="B264" s="2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 ht="15.75" customHeight="1">
      <c r="A265" s="28"/>
      <c r="B265" s="2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 ht="15.75" customHeight="1">
      <c r="A266" s="28"/>
      <c r="B266" s="2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 ht="15.75" customHeight="1">
      <c r="A267" s="28"/>
      <c r="B267" s="2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 ht="15.75" customHeight="1">
      <c r="A268" s="28"/>
      <c r="B268" s="2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 ht="15.75" customHeight="1">
      <c r="A269" s="28"/>
      <c r="B269" s="2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 ht="15.75" customHeight="1">
      <c r="A270" s="28"/>
      <c r="B270" s="2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 ht="15.75" customHeight="1">
      <c r="A271" s="28"/>
      <c r="B271" s="2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 ht="15.75" customHeight="1">
      <c r="A272" s="28"/>
      <c r="B272" s="2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 ht="15.75" customHeight="1">
      <c r="A273" s="28"/>
      <c r="B273" s="2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 ht="15.75" customHeight="1">
      <c r="A274" s="28"/>
      <c r="B274" s="2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 ht="15.75" customHeight="1">
      <c r="A275" s="28"/>
      <c r="B275" s="2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 ht="15.75" customHeight="1">
      <c r="A276" s="28"/>
      <c r="B276" s="2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 ht="15.75" customHeight="1">
      <c r="A277" s="28"/>
      <c r="B277" s="2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 ht="15.75" customHeight="1">
      <c r="A278" s="28"/>
      <c r="B278" s="2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 ht="15.75" customHeight="1">
      <c r="A279" s="28"/>
      <c r="B279" s="2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 ht="15.75" customHeight="1">
      <c r="A280" s="28"/>
      <c r="B280" s="2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 ht="15.75" customHeight="1">
      <c r="A281" s="28"/>
      <c r="B281" s="2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 ht="15.75" customHeight="1">
      <c r="A282" s="28"/>
      <c r="B282" s="2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 ht="15.75" customHeight="1">
      <c r="A283" s="28"/>
      <c r="B283" s="2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 ht="15.75" customHeight="1">
      <c r="A284" s="28"/>
      <c r="B284" s="2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 ht="15.75" customHeight="1">
      <c r="A285" s="28"/>
      <c r="B285" s="2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 ht="15.75" customHeight="1">
      <c r="A286" s="28"/>
      <c r="B286" s="2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 ht="15.75" customHeight="1">
      <c r="A287" s="28"/>
      <c r="B287" s="2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 ht="15.75" customHeight="1">
      <c r="A288" s="28"/>
      <c r="B288" s="2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 ht="15.75" customHeight="1">
      <c r="A289" s="28"/>
      <c r="B289" s="2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 ht="15.75" customHeight="1">
      <c r="A290" s="28"/>
      <c r="B290" s="2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 ht="15.75" customHeight="1">
      <c r="A291" s="28"/>
      <c r="B291" s="2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 ht="15.75" customHeight="1">
      <c r="A292" s="28"/>
      <c r="B292" s="2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 ht="15.75" customHeight="1">
      <c r="A293" s="28"/>
      <c r="B293" s="2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 ht="15.75" customHeight="1">
      <c r="A294" s="28"/>
      <c r="B294" s="2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 ht="15.75" customHeight="1">
      <c r="A295" s="28"/>
      <c r="B295" s="2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 ht="15.75" customHeight="1">
      <c r="A296" s="28"/>
      <c r="B296" s="2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 ht="15.75" customHeight="1">
      <c r="A297" s="28"/>
      <c r="B297" s="2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 ht="15.75" customHeight="1">
      <c r="A298" s="28"/>
      <c r="B298" s="2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 ht="15.75" customHeight="1">
      <c r="A299" s="28"/>
      <c r="B299" s="2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 ht="15.75" customHeight="1">
      <c r="A300" s="28"/>
      <c r="B300" s="2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 ht="15.75" customHeight="1">
      <c r="A301" s="28"/>
      <c r="B301" s="2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 ht="15.75" customHeight="1">
      <c r="A302" s="28"/>
      <c r="B302" s="2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 ht="15.75" customHeight="1">
      <c r="A303" s="28"/>
      <c r="B303" s="2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 ht="15.75" customHeight="1">
      <c r="A304" s="28"/>
      <c r="B304" s="2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 ht="15.75" customHeight="1">
      <c r="A305" s="28"/>
      <c r="B305" s="2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 ht="15.75" customHeight="1">
      <c r="A306" s="28"/>
      <c r="B306" s="2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 ht="15.75" customHeight="1">
      <c r="A307" s="28"/>
      <c r="B307" s="2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 ht="15.75" customHeight="1">
      <c r="A308" s="28"/>
      <c r="B308" s="2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 ht="15.75" customHeight="1">
      <c r="A309" s="28"/>
      <c r="B309" s="2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 ht="15.75" customHeight="1">
      <c r="A310" s="28"/>
      <c r="B310" s="2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 ht="15.75" customHeight="1">
      <c r="A311" s="28"/>
      <c r="B311" s="29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 ht="15.75" customHeight="1">
      <c r="A312" s="28"/>
      <c r="B312" s="29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 ht="15.75" customHeight="1">
      <c r="A313" s="28"/>
      <c r="B313" s="29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 ht="15.75" customHeight="1">
      <c r="A314" s="28"/>
      <c r="B314" s="29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 ht="15.75" customHeight="1">
      <c r="A315" s="28"/>
      <c r="B315" s="29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 ht="15.75" customHeight="1">
      <c r="A316" s="28"/>
      <c r="B316" s="29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 ht="15.75" customHeight="1">
      <c r="A317" s="28"/>
      <c r="B317" s="29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 ht="15.75" customHeight="1">
      <c r="A318" s="28"/>
      <c r="B318" s="29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 ht="15.75" customHeight="1">
      <c r="A319" s="28"/>
      <c r="B319" s="29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 ht="15.75" customHeight="1">
      <c r="A320" s="28"/>
      <c r="B320" s="29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 ht="15.75" customHeight="1">
      <c r="A321" s="28"/>
      <c r="B321" s="29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 ht="15.75" customHeight="1">
      <c r="A322" s="28"/>
      <c r="B322" s="29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 ht="15.75" customHeight="1">
      <c r="A323" s="28"/>
      <c r="B323" s="29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 ht="15.75" customHeight="1">
      <c r="A324" s="28"/>
      <c r="B324" s="29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 ht="15.75" customHeight="1">
      <c r="A325" s="28"/>
      <c r="B325" s="29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 ht="15.75" customHeight="1">
      <c r="A326" s="28"/>
      <c r="B326" s="29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 ht="15.75" customHeight="1">
      <c r="A327" s="28"/>
      <c r="B327" s="29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 ht="15.75" customHeight="1">
      <c r="A328" s="28"/>
      <c r="B328" s="29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 ht="15.75" customHeight="1">
      <c r="A329" s="28"/>
      <c r="B329" s="29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 ht="15.75" customHeight="1">
      <c r="A330" s="28"/>
      <c r="B330" s="29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 ht="15.75" customHeight="1">
      <c r="A331" s="28"/>
      <c r="B331" s="29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 ht="15.75" customHeight="1">
      <c r="A332" s="28"/>
      <c r="B332" s="29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 ht="15.75" customHeight="1">
      <c r="A333" s="28"/>
      <c r="B333" s="29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ht="15.75" customHeight="1">
      <c r="A334" s="28"/>
      <c r="B334" s="29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 ht="15.75" customHeight="1">
      <c r="A335" s="28"/>
      <c r="B335" s="29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 ht="15.75" customHeight="1">
      <c r="A336" s="28"/>
      <c r="B336" s="29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 ht="15.75" customHeight="1">
      <c r="A337" s="28"/>
      <c r="B337" s="29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 ht="15.75" customHeight="1">
      <c r="A338" s="28"/>
      <c r="B338" s="29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 ht="15.75" customHeight="1">
      <c r="A339" s="28"/>
      <c r="B339" s="29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 ht="15.75" customHeight="1">
      <c r="A340" s="28"/>
      <c r="B340" s="29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 ht="15.75" customHeight="1">
      <c r="A341" s="28"/>
      <c r="B341" s="29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 ht="15.75" customHeight="1">
      <c r="A342" s="28"/>
      <c r="B342" s="29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ht="15.75" customHeight="1">
      <c r="A343" s="28"/>
      <c r="B343" s="29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 ht="15.75" customHeight="1">
      <c r="A344" s="28"/>
      <c r="B344" s="29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 ht="15.75" customHeight="1">
      <c r="A345" s="28"/>
      <c r="B345" s="29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 ht="15.75" customHeight="1">
      <c r="A346" s="28"/>
      <c r="B346" s="29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 ht="15.75" customHeight="1">
      <c r="A347" s="28"/>
      <c r="B347" s="29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 ht="15.75" customHeight="1">
      <c r="A348" s="28"/>
      <c r="B348" s="29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 ht="15.75" customHeight="1">
      <c r="A349" s="28"/>
      <c r="B349" s="29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 ht="15.75" customHeight="1">
      <c r="A350" s="28"/>
      <c r="B350" s="29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 ht="15.75" customHeight="1">
      <c r="A351" s="28"/>
      <c r="B351" s="29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ht="15.75" customHeight="1">
      <c r="A352" s="28"/>
      <c r="B352" s="29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 ht="15.75" customHeight="1">
      <c r="A353" s="28"/>
      <c r="B353" s="29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 ht="15.75" customHeight="1">
      <c r="A354" s="28"/>
      <c r="B354" s="29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 ht="15.75" customHeight="1">
      <c r="A355" s="28"/>
      <c r="B355" s="29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 ht="15.75" customHeight="1">
      <c r="A356" s="28"/>
      <c r="B356" s="29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 ht="15.75" customHeight="1">
      <c r="A357" s="28"/>
      <c r="B357" s="29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 ht="15.75" customHeight="1">
      <c r="A358" s="28"/>
      <c r="B358" s="29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 ht="15.75" customHeight="1">
      <c r="A359" s="28"/>
      <c r="B359" s="29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 ht="15.75" customHeight="1">
      <c r="A360" s="28"/>
      <c r="B360" s="29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 ht="15.75" customHeight="1">
      <c r="A361" s="28"/>
      <c r="B361" s="29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 ht="15.75" customHeight="1">
      <c r="A362" s="28"/>
      <c r="B362" s="29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 ht="15.75" customHeight="1">
      <c r="A363" s="28"/>
      <c r="B363" s="29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ht="15.75" customHeight="1">
      <c r="A364" s="28"/>
      <c r="B364" s="29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 ht="15.75" customHeight="1">
      <c r="A365" s="28"/>
      <c r="B365" s="29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 ht="15.75" customHeight="1">
      <c r="A366" s="28"/>
      <c r="B366" s="29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 ht="15.75" customHeight="1">
      <c r="A367" s="28"/>
      <c r="B367" s="29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 ht="15.75" customHeight="1">
      <c r="A368" s="28"/>
      <c r="B368" s="29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 ht="15.75" customHeight="1">
      <c r="A369" s="28"/>
      <c r="B369" s="29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 ht="15.75" customHeight="1">
      <c r="A370" s="28"/>
      <c r="B370" s="29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 ht="15.75" customHeight="1">
      <c r="A371" s="28"/>
      <c r="B371" s="29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 ht="15.75" customHeight="1">
      <c r="A372" s="28"/>
      <c r="B372" s="29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ht="15.75" customHeight="1">
      <c r="A373" s="28"/>
      <c r="B373" s="29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 ht="15.75" customHeight="1">
      <c r="A374" s="28"/>
      <c r="B374" s="29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 ht="15.75" customHeight="1">
      <c r="A375" s="28"/>
      <c r="B375" s="29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 ht="15.75" customHeight="1">
      <c r="A376" s="28"/>
      <c r="B376" s="29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 ht="15.75" customHeight="1">
      <c r="A377" s="28"/>
      <c r="B377" s="29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 ht="15.75" customHeight="1">
      <c r="A378" s="28"/>
      <c r="B378" s="29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 ht="15.75" customHeight="1">
      <c r="A379" s="28"/>
      <c r="B379" s="29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 ht="15.75" customHeight="1">
      <c r="A380" s="28"/>
      <c r="B380" s="29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 ht="15.75" customHeight="1">
      <c r="A381" s="28"/>
      <c r="B381" s="29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 ht="15.75" customHeight="1">
      <c r="A382" s="28"/>
      <c r="B382" s="29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 ht="15.75" customHeight="1">
      <c r="A383" s="28"/>
      <c r="B383" s="29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ht="15.75" customHeight="1">
      <c r="A384" s="28"/>
      <c r="B384" s="29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 ht="15.75" customHeight="1">
      <c r="A385" s="28"/>
      <c r="B385" s="29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 ht="15.75" customHeight="1">
      <c r="A386" s="28"/>
      <c r="B386" s="29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 ht="15.75" customHeight="1">
      <c r="A387" s="28"/>
      <c r="B387" s="29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 ht="15.75" customHeight="1">
      <c r="A388" s="28"/>
      <c r="B388" s="29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 ht="15.75" customHeight="1">
      <c r="A389" s="28"/>
      <c r="B389" s="29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 ht="15.75" customHeight="1">
      <c r="A390" s="28"/>
      <c r="B390" s="29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 ht="15.75" customHeight="1">
      <c r="A391" s="28"/>
      <c r="B391" s="29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 ht="15.75" customHeight="1">
      <c r="A392" s="28"/>
      <c r="B392" s="29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 ht="15.75" customHeight="1">
      <c r="A393" s="28"/>
      <c r="B393" s="29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ht="15.75" customHeight="1">
      <c r="A394" s="28"/>
      <c r="B394" s="29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 ht="15.75" customHeight="1">
      <c r="A395" s="28"/>
      <c r="B395" s="29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 ht="15.75" customHeight="1">
      <c r="A396" s="28"/>
      <c r="B396" s="29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 ht="15.75" customHeight="1">
      <c r="A397" s="28"/>
      <c r="B397" s="29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 ht="15.75" customHeight="1">
      <c r="A398" s="28"/>
      <c r="B398" s="29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 ht="15.75" customHeight="1">
      <c r="A399" s="28"/>
      <c r="B399" s="29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 ht="15.75" customHeight="1">
      <c r="A400" s="28"/>
      <c r="B400" s="29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 ht="15.75" customHeight="1">
      <c r="A401" s="28"/>
      <c r="B401" s="29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 ht="15.75" customHeight="1">
      <c r="A402" s="28"/>
      <c r="B402" s="29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ht="15.75" customHeight="1">
      <c r="A403" s="28"/>
      <c r="B403" s="29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 ht="15.75" customHeight="1">
      <c r="A404" s="28"/>
      <c r="B404" s="29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 ht="15.75" customHeight="1">
      <c r="A405" s="28"/>
      <c r="B405" s="29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 ht="15.75" customHeight="1">
      <c r="A406" s="28"/>
      <c r="B406" s="29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 ht="15.75" customHeight="1">
      <c r="A407" s="28"/>
      <c r="B407" s="29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 ht="15.75" customHeight="1">
      <c r="A408" s="28"/>
      <c r="B408" s="29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 ht="15.75" customHeight="1">
      <c r="A409" s="28"/>
      <c r="B409" s="29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 ht="15.75" customHeight="1">
      <c r="A410" s="28"/>
      <c r="B410" s="29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 ht="15.75" customHeight="1">
      <c r="A411" s="28"/>
      <c r="B411" s="29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 ht="15.75" customHeight="1">
      <c r="A412" s="28"/>
      <c r="B412" s="29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ht="15.75" customHeight="1">
      <c r="A413" s="28"/>
      <c r="B413" s="29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 ht="15.75" customHeight="1">
      <c r="A414" s="28"/>
      <c r="B414" s="29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 ht="15.75" customHeight="1">
      <c r="A415" s="28"/>
      <c r="B415" s="29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 ht="15.75" customHeight="1">
      <c r="A416" s="28"/>
      <c r="B416" s="29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 ht="15.75" customHeight="1">
      <c r="A417" s="28"/>
      <c r="B417" s="29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 ht="15.75" customHeight="1">
      <c r="A418" s="28"/>
      <c r="B418" s="29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 ht="15.75" customHeight="1">
      <c r="A419" s="28"/>
      <c r="B419" s="29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 ht="15.75" customHeight="1">
      <c r="A420" s="28"/>
      <c r="B420" s="29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 ht="15.75" customHeight="1">
      <c r="A421" s="28"/>
      <c r="B421" s="29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ht="15.75" customHeight="1">
      <c r="A422" s="28"/>
      <c r="B422" s="29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 ht="15.75" customHeight="1">
      <c r="A423" s="28"/>
      <c r="B423" s="29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 ht="15.75" customHeight="1">
      <c r="A424" s="28"/>
      <c r="B424" s="29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 ht="15.75" customHeight="1">
      <c r="A425" s="28"/>
      <c r="B425" s="29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 ht="15.75" customHeight="1">
      <c r="A426" s="28"/>
      <c r="B426" s="29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 ht="15.75" customHeight="1">
      <c r="A427" s="28"/>
      <c r="B427" s="29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 ht="15.75" customHeight="1">
      <c r="A428" s="28"/>
      <c r="B428" s="29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 ht="15.75" customHeight="1">
      <c r="A429" s="28"/>
      <c r="B429" s="29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 ht="15.75" customHeight="1">
      <c r="A430" s="28"/>
      <c r="B430" s="29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ht="15.75" customHeight="1">
      <c r="A431" s="28"/>
      <c r="B431" s="29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 ht="15.75" customHeight="1">
      <c r="A432" s="28"/>
      <c r="B432" s="29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 ht="15.75" customHeight="1">
      <c r="A433" s="28"/>
      <c r="B433" s="29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 ht="15.75" customHeight="1">
      <c r="A434" s="28"/>
      <c r="B434" s="29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 ht="15.75" customHeight="1">
      <c r="A435" s="28"/>
      <c r="B435" s="29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 ht="15.75" customHeight="1">
      <c r="A436" s="28"/>
      <c r="B436" s="29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 ht="15.75" customHeight="1">
      <c r="A437" s="28"/>
      <c r="B437" s="29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 ht="15.75" customHeight="1">
      <c r="A438" s="28"/>
      <c r="B438" s="29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 ht="15.75" customHeight="1">
      <c r="A439" s="28"/>
      <c r="B439" s="29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ht="15.75" customHeight="1">
      <c r="A440" s="28"/>
      <c r="B440" s="29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 ht="15.75" customHeight="1">
      <c r="A441" s="28"/>
      <c r="B441" s="29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 ht="15.75" customHeight="1">
      <c r="A442" s="28"/>
      <c r="B442" s="29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 ht="15.75" customHeight="1">
      <c r="A443" s="28"/>
      <c r="B443" s="29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 ht="15.75" customHeight="1">
      <c r="A444" s="28"/>
      <c r="B444" s="29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 ht="15.75" customHeight="1">
      <c r="A445" s="28"/>
      <c r="B445" s="29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 ht="15.75" customHeight="1">
      <c r="A446" s="28"/>
      <c r="B446" s="29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 ht="15.75" customHeight="1">
      <c r="A447" s="28"/>
      <c r="B447" s="29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 ht="15.75" customHeight="1">
      <c r="A448" s="28"/>
      <c r="B448" s="29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ht="15.75" customHeight="1">
      <c r="A449" s="28"/>
      <c r="B449" s="29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 ht="15.75" customHeight="1">
      <c r="A450" s="28"/>
      <c r="B450" s="29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 ht="15.75" customHeight="1">
      <c r="A451" s="28"/>
      <c r="B451" s="29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 ht="15.75" customHeight="1">
      <c r="A452" s="28"/>
      <c r="B452" s="29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 ht="15.75" customHeight="1">
      <c r="A453" s="28"/>
      <c r="B453" s="29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 ht="15.75" customHeight="1">
      <c r="A454" s="28"/>
      <c r="B454" s="29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 ht="15.75" customHeight="1">
      <c r="A455" s="28"/>
      <c r="B455" s="29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 ht="15.75" customHeight="1">
      <c r="A456" s="28"/>
      <c r="B456" s="29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 ht="15.75" customHeight="1">
      <c r="A457" s="28"/>
      <c r="B457" s="29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ht="15.75" customHeight="1">
      <c r="A458" s="28"/>
      <c r="B458" s="29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 ht="15.75" customHeight="1">
      <c r="A459" s="28"/>
      <c r="B459" s="29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 ht="15.75" customHeight="1">
      <c r="A460" s="28"/>
      <c r="B460" s="29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 ht="15.75" customHeight="1">
      <c r="A461" s="28"/>
      <c r="B461" s="29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 ht="15.75" customHeight="1">
      <c r="A462" s="28"/>
      <c r="B462" s="29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 ht="15.75" customHeight="1">
      <c r="A463" s="28"/>
      <c r="B463" s="29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 ht="15.75" customHeight="1">
      <c r="A464" s="28"/>
      <c r="B464" s="29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 ht="15.75" customHeight="1">
      <c r="A465" s="28"/>
      <c r="B465" s="29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 ht="15.75" customHeight="1">
      <c r="A466" s="28"/>
      <c r="B466" s="29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ht="15.75" customHeight="1">
      <c r="A467" s="28"/>
      <c r="B467" s="29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 ht="15.75" customHeight="1">
      <c r="A468" s="28"/>
      <c r="B468" s="29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 ht="15.75" customHeight="1">
      <c r="A469" s="28"/>
      <c r="B469" s="29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 ht="15.75" customHeight="1">
      <c r="A470" s="28"/>
      <c r="B470" s="29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 ht="15.75" customHeight="1">
      <c r="A471" s="28"/>
      <c r="B471" s="29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ht="15.75" customHeight="1">
      <c r="A472" s="28"/>
      <c r="B472" s="29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 ht="15.75" customHeight="1">
      <c r="A473" s="28"/>
      <c r="B473" s="29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 ht="15.75" customHeight="1">
      <c r="A474" s="28"/>
      <c r="B474" s="29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 ht="15.75" customHeight="1">
      <c r="A475" s="28"/>
      <c r="B475" s="29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ht="15.75" customHeight="1">
      <c r="A476" s="28"/>
      <c r="B476" s="29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 ht="15.75" customHeight="1">
      <c r="A477" s="28"/>
      <c r="B477" s="29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 ht="15.75" customHeight="1">
      <c r="A478" s="28"/>
      <c r="B478" s="29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 ht="15.75" customHeight="1">
      <c r="A479" s="28"/>
      <c r="B479" s="29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 ht="15.75" customHeight="1">
      <c r="A480" s="28"/>
      <c r="B480" s="29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 ht="15.75" customHeight="1">
      <c r="A481" s="28"/>
      <c r="B481" s="29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 ht="15.75" customHeight="1">
      <c r="A482" s="28"/>
      <c r="B482" s="29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 ht="15.75" customHeight="1">
      <c r="A483" s="28"/>
      <c r="B483" s="29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 ht="15.75" customHeight="1">
      <c r="A484" s="28"/>
      <c r="B484" s="29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ht="15.75" customHeight="1">
      <c r="A485" s="28"/>
      <c r="B485" s="29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 ht="15.75" customHeight="1">
      <c r="A486" s="28"/>
      <c r="B486" s="29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 ht="15.75" customHeight="1">
      <c r="A487" s="28"/>
      <c r="B487" s="29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 ht="15.75" customHeight="1">
      <c r="A488" s="28"/>
      <c r="B488" s="29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 ht="15.75" customHeight="1">
      <c r="A489" s="28"/>
      <c r="B489" s="29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 ht="15.75" customHeight="1">
      <c r="A490" s="28"/>
      <c r="B490" s="29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 ht="15.75" customHeight="1">
      <c r="A491" s="28"/>
      <c r="B491" s="29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 ht="15.75" customHeight="1">
      <c r="A492" s="28"/>
      <c r="B492" s="29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 ht="15.75" customHeight="1">
      <c r="A493" s="28"/>
      <c r="B493" s="29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ht="15.75" customHeight="1">
      <c r="A494" s="28"/>
      <c r="B494" s="29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 ht="15.75" customHeight="1">
      <c r="A495" s="28"/>
      <c r="B495" s="29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ht="15.75" customHeight="1">
      <c r="A496" s="28"/>
      <c r="B496" s="29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ht="15.75" customHeight="1">
      <c r="A497" s="28"/>
      <c r="B497" s="29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 ht="15.75" customHeight="1">
      <c r="A498" s="28"/>
      <c r="B498" s="29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 ht="15.75" customHeight="1">
      <c r="A499" s="28"/>
      <c r="B499" s="29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 ht="15.75" customHeight="1">
      <c r="A500" s="28"/>
      <c r="B500" s="2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 ht="15.75" customHeight="1">
      <c r="A501" s="28"/>
      <c r="B501" s="29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 ht="15.75" customHeight="1">
      <c r="A502" s="28"/>
      <c r="B502" s="29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 ht="15.75" customHeight="1">
      <c r="A503" s="28"/>
      <c r="B503" s="29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 ht="15.75" customHeight="1">
      <c r="A504" s="28"/>
      <c r="B504" s="29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ht="15.75" customHeight="1">
      <c r="A505" s="28"/>
      <c r="B505" s="29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 ht="15.75" customHeight="1">
      <c r="A506" s="28"/>
      <c r="B506" s="29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 ht="15.75" customHeight="1">
      <c r="A507" s="28"/>
      <c r="B507" s="29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 ht="15.75" customHeight="1">
      <c r="A508" s="28"/>
      <c r="B508" s="29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 ht="15.75" customHeight="1">
      <c r="A509" s="28"/>
      <c r="B509" s="29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 ht="15.75" customHeight="1">
      <c r="A510" s="28"/>
      <c r="B510" s="29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 ht="15.75" customHeight="1">
      <c r="A511" s="28"/>
      <c r="B511" s="29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 ht="15.75" customHeight="1">
      <c r="A512" s="28"/>
      <c r="B512" s="29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 ht="15.75" customHeight="1">
      <c r="A513" s="28"/>
      <c r="B513" s="29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ht="15.75" customHeight="1">
      <c r="A514" s="28"/>
      <c r="B514" s="29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 ht="15.75" customHeight="1">
      <c r="A515" s="28"/>
      <c r="B515" s="29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 ht="15.75" customHeight="1">
      <c r="A516" s="28"/>
      <c r="B516" s="29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 ht="15.75" customHeight="1">
      <c r="A517" s="28"/>
      <c r="B517" s="29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 ht="15.75" customHeight="1">
      <c r="A518" s="28"/>
      <c r="B518" s="29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 ht="15.75" customHeight="1">
      <c r="A519" s="28"/>
      <c r="B519" s="29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 ht="15.75" customHeight="1">
      <c r="A520" s="28"/>
      <c r="B520" s="29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 ht="15.75" customHeight="1">
      <c r="A521" s="28"/>
      <c r="B521" s="29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 ht="15.75" customHeight="1">
      <c r="A522" s="28"/>
      <c r="B522" s="29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 ht="15.75" customHeight="1">
      <c r="A523" s="28"/>
      <c r="B523" s="29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ht="15.75" customHeight="1">
      <c r="A524" s="28"/>
      <c r="B524" s="29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 ht="15.75" customHeight="1">
      <c r="A525" s="28"/>
      <c r="B525" s="29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 ht="15.75" customHeight="1">
      <c r="A526" s="28"/>
      <c r="B526" s="29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 ht="15.75" customHeight="1">
      <c r="A527" s="28"/>
      <c r="B527" s="29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 ht="15.75" customHeight="1">
      <c r="A528" s="28"/>
      <c r="B528" s="29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 ht="15.75" customHeight="1">
      <c r="A529" s="28"/>
      <c r="B529" s="29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 ht="15.75" customHeight="1">
      <c r="A530" s="28"/>
      <c r="B530" s="29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 ht="15.75" customHeight="1">
      <c r="A531" s="28"/>
      <c r="B531" s="29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 ht="15.75" customHeight="1">
      <c r="A532" s="28"/>
      <c r="B532" s="29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ht="15.75" customHeight="1">
      <c r="A533" s="28"/>
      <c r="B533" s="29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 ht="15.75" customHeight="1">
      <c r="A534" s="28"/>
      <c r="B534" s="29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 ht="15.75" customHeight="1">
      <c r="A535" s="28"/>
      <c r="B535" s="29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 ht="15.75" customHeight="1">
      <c r="A536" s="28"/>
      <c r="B536" s="29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 ht="15.75" customHeight="1">
      <c r="A537" s="28"/>
      <c r="B537" s="29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 ht="15.75" customHeight="1">
      <c r="A538" s="28"/>
      <c r="B538" s="29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 ht="15.75" customHeight="1">
      <c r="A539" s="28"/>
      <c r="B539" s="29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 ht="15.75" customHeight="1">
      <c r="A540" s="28"/>
      <c r="B540" s="29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 ht="15.75" customHeight="1">
      <c r="A541" s="28"/>
      <c r="B541" s="29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ht="15.75" customHeight="1">
      <c r="A542" s="28"/>
      <c r="B542" s="29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 ht="15.75" customHeight="1">
      <c r="A543" s="28"/>
      <c r="B543" s="29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 ht="15.75" customHeight="1">
      <c r="A544" s="28"/>
      <c r="B544" s="29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 ht="15.75" customHeight="1">
      <c r="A545" s="28"/>
      <c r="B545" s="29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 ht="15.75" customHeight="1">
      <c r="A546" s="28"/>
      <c r="B546" s="29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 ht="15.75" customHeight="1">
      <c r="A547" s="28"/>
      <c r="B547" s="29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 ht="15.75" customHeight="1">
      <c r="A548" s="28"/>
      <c r="B548" s="29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 ht="15.75" customHeight="1">
      <c r="A549" s="28"/>
      <c r="B549" s="29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 ht="15.75" customHeight="1">
      <c r="A550" s="28"/>
      <c r="B550" s="29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ht="15.75" customHeight="1">
      <c r="A551" s="28"/>
      <c r="B551" s="29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 ht="15.75" customHeight="1">
      <c r="A552" s="28"/>
      <c r="B552" s="29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 ht="15.75" customHeight="1">
      <c r="A553" s="28"/>
      <c r="B553" s="29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 ht="15.75" customHeight="1">
      <c r="A554" s="28"/>
      <c r="B554" s="29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ht="15.75" customHeight="1">
      <c r="A555" s="28"/>
      <c r="B555" s="29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ht="15.75" customHeight="1">
      <c r="A556" s="28"/>
      <c r="B556" s="29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 ht="15.75" customHeight="1">
      <c r="A557" s="28"/>
      <c r="B557" s="29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 ht="15.75" customHeight="1">
      <c r="A558" s="28"/>
      <c r="B558" s="29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 ht="15.75" customHeight="1">
      <c r="A559" s="28"/>
      <c r="B559" s="29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 ht="15.75" customHeight="1">
      <c r="A560" s="28"/>
      <c r="B560" s="29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 ht="15.75" customHeight="1">
      <c r="A561" s="28"/>
      <c r="B561" s="29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 ht="15.75" customHeight="1">
      <c r="A562" s="28"/>
      <c r="B562" s="29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ht="15.75" customHeight="1">
      <c r="A563" s="28"/>
      <c r="B563" s="29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 ht="15.75" customHeight="1">
      <c r="A564" s="28"/>
      <c r="B564" s="29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 ht="15.75" customHeight="1">
      <c r="A565" s="28"/>
      <c r="B565" s="29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 ht="15.75" customHeight="1">
      <c r="A566" s="28"/>
      <c r="B566" s="29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 ht="15.75" customHeight="1">
      <c r="A567" s="28"/>
      <c r="B567" s="29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 ht="15.75" customHeight="1">
      <c r="A568" s="28"/>
      <c r="B568" s="29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 ht="15.75" customHeight="1">
      <c r="A569" s="28"/>
      <c r="B569" s="29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 ht="15.75" customHeight="1">
      <c r="A570" s="28"/>
      <c r="B570" s="29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 ht="15.75" customHeight="1">
      <c r="A571" s="28"/>
      <c r="B571" s="29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ht="15.75" customHeight="1">
      <c r="A572" s="28"/>
      <c r="B572" s="29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 ht="15.75" customHeight="1">
      <c r="A573" s="28"/>
      <c r="B573" s="29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 ht="15.75" customHeight="1">
      <c r="A574" s="28"/>
      <c r="B574" s="29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 ht="15.75" customHeight="1">
      <c r="A575" s="28"/>
      <c r="B575" s="29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 ht="15.75" customHeight="1">
      <c r="A576" s="28"/>
      <c r="B576" s="29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 ht="15.75" customHeight="1">
      <c r="A577" s="28"/>
      <c r="B577" s="29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 ht="15.75" customHeight="1">
      <c r="A578" s="28"/>
      <c r="B578" s="29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 ht="15.75" customHeight="1">
      <c r="A579" s="28"/>
      <c r="B579" s="29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 ht="15.75" customHeight="1">
      <c r="A580" s="28"/>
      <c r="B580" s="29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 ht="15.75" customHeight="1">
      <c r="A581" s="28"/>
      <c r="B581" s="29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ht="15.75" customHeight="1">
      <c r="A582" s="28"/>
      <c r="B582" s="29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 ht="15.75" customHeight="1">
      <c r="A583" s="28"/>
      <c r="B583" s="29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 ht="15.75" customHeight="1">
      <c r="A584" s="28"/>
      <c r="B584" s="29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 ht="15.75" customHeight="1">
      <c r="A585" s="28"/>
      <c r="B585" s="29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 ht="15.75" customHeight="1">
      <c r="A586" s="28"/>
      <c r="B586" s="29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 ht="15.75" customHeight="1">
      <c r="A587" s="28"/>
      <c r="B587" s="29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 ht="15.75" customHeight="1">
      <c r="A588" s="28"/>
      <c r="B588" s="29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 ht="15.75" customHeight="1">
      <c r="A589" s="28"/>
      <c r="B589" s="29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 ht="15.75" customHeight="1">
      <c r="A590" s="28"/>
      <c r="B590" s="29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ht="15.75" customHeight="1">
      <c r="A591" s="28"/>
      <c r="B591" s="29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 ht="15.75" customHeight="1">
      <c r="A592" s="28"/>
      <c r="B592" s="29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 ht="15.75" customHeight="1">
      <c r="A593" s="28"/>
      <c r="B593" s="29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 ht="15.75" customHeight="1">
      <c r="A594" s="28"/>
      <c r="B594" s="29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 ht="15.75" customHeight="1">
      <c r="A595" s="28"/>
      <c r="B595" s="29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 ht="15.75" customHeight="1">
      <c r="A596" s="28"/>
      <c r="B596" s="29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 ht="15.75" customHeight="1">
      <c r="A597" s="28"/>
      <c r="B597" s="29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 ht="15.75" customHeight="1">
      <c r="A598" s="28"/>
      <c r="B598" s="29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 ht="15.75" customHeight="1">
      <c r="A599" s="28"/>
      <c r="B599" s="29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 ht="15.75" customHeight="1">
      <c r="A600" s="28"/>
      <c r="B600" s="29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ht="15.75" customHeight="1">
      <c r="A601" s="28"/>
      <c r="B601" s="29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 ht="15.75" customHeight="1">
      <c r="A602" s="28"/>
      <c r="B602" s="29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 ht="15.75" customHeight="1">
      <c r="A603" s="28"/>
      <c r="B603" s="29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 ht="15.75" customHeight="1">
      <c r="A604" s="28"/>
      <c r="B604" s="29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 ht="15.75" customHeight="1">
      <c r="A605" s="28"/>
      <c r="B605" s="29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ht="15.75" customHeight="1">
      <c r="A606" s="28"/>
      <c r="B606" s="29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ht="15.75" customHeight="1">
      <c r="A607" s="28"/>
      <c r="B607" s="29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 ht="15.75" customHeight="1">
      <c r="A608" s="28"/>
      <c r="B608" s="29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 ht="15.75" customHeight="1">
      <c r="A609" s="28"/>
      <c r="B609" s="29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 ht="15.75" customHeight="1">
      <c r="A610" s="28"/>
      <c r="B610" s="29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 ht="15.75" customHeight="1">
      <c r="A611" s="28"/>
      <c r="B611" s="29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ht="15.75" customHeight="1">
      <c r="A612" s="28"/>
      <c r="B612" s="29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 ht="15.75" customHeight="1">
      <c r="A613" s="28"/>
      <c r="B613" s="29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 ht="15.75" customHeight="1">
      <c r="A614" s="28"/>
      <c r="B614" s="29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 ht="15.75" customHeight="1">
      <c r="A615" s="28"/>
      <c r="B615" s="29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 ht="15.75" customHeight="1">
      <c r="A616" s="28"/>
      <c r="B616" s="29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 ht="15.75" customHeight="1">
      <c r="A617" s="28"/>
      <c r="B617" s="29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 ht="15.75" customHeight="1">
      <c r="A618" s="28"/>
      <c r="B618" s="29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 ht="15.75" customHeight="1">
      <c r="A619" s="28"/>
      <c r="B619" s="29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 ht="15.75" customHeight="1">
      <c r="A620" s="28"/>
      <c r="B620" s="29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 ht="15.75" customHeight="1">
      <c r="A621" s="28"/>
      <c r="B621" s="29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ht="15.75" customHeight="1">
      <c r="A622" s="28"/>
      <c r="B622" s="29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 ht="15.75" customHeight="1">
      <c r="A623" s="28"/>
      <c r="B623" s="29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 ht="15.75" customHeight="1">
      <c r="A624" s="28"/>
      <c r="B624" s="29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 ht="15.75" customHeight="1">
      <c r="A625" s="28"/>
      <c r="B625" s="29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 ht="15.75" customHeight="1">
      <c r="A626" s="28"/>
      <c r="B626" s="29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 ht="15.75" customHeight="1">
      <c r="A627" s="28"/>
      <c r="B627" s="29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 ht="15.75" customHeight="1">
      <c r="A628" s="28"/>
      <c r="B628" s="29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 ht="15.75" customHeight="1">
      <c r="A629" s="28"/>
      <c r="B629" s="29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 ht="15.75" customHeight="1">
      <c r="A630" s="28"/>
      <c r="B630" s="29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 ht="15.75" customHeight="1">
      <c r="A631" s="28"/>
      <c r="B631" s="29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ht="15.75" customHeight="1">
      <c r="A632" s="28"/>
      <c r="B632" s="29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 ht="15.75" customHeight="1">
      <c r="A633" s="28"/>
      <c r="B633" s="29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 ht="15.75" customHeight="1">
      <c r="A634" s="28"/>
      <c r="B634" s="29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 ht="15.75" customHeight="1">
      <c r="A635" s="28"/>
      <c r="B635" s="29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 ht="15.75" customHeight="1">
      <c r="A636" s="28"/>
      <c r="B636" s="29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 ht="15.75" customHeight="1">
      <c r="A637" s="28"/>
      <c r="B637" s="29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 ht="15.75" customHeight="1">
      <c r="A638" s="28"/>
      <c r="B638" s="29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 ht="15.75" customHeight="1">
      <c r="A639" s="28"/>
      <c r="B639" s="29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 ht="15.75" customHeight="1">
      <c r="A640" s="28"/>
      <c r="B640" s="29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ht="15.75" customHeight="1">
      <c r="A641" s="28"/>
      <c r="B641" s="29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 ht="15.75" customHeight="1">
      <c r="A642" s="28"/>
      <c r="B642" s="29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 ht="15.75" customHeight="1">
      <c r="A643" s="28"/>
      <c r="B643" s="29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 ht="15.75" customHeight="1">
      <c r="A644" s="28"/>
      <c r="B644" s="29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 ht="15.75" customHeight="1">
      <c r="A645" s="28"/>
      <c r="B645" s="29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 ht="15.75" customHeight="1">
      <c r="A646" s="28"/>
      <c r="B646" s="29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 ht="15.75" customHeight="1">
      <c r="A647" s="28"/>
      <c r="B647" s="29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 ht="15.75" customHeight="1">
      <c r="A648" s="28"/>
      <c r="B648" s="29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 ht="15.75" customHeight="1">
      <c r="A649" s="28"/>
      <c r="B649" s="29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 ht="15.75" customHeight="1">
      <c r="A650" s="28"/>
      <c r="B650" s="29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ht="15.75" customHeight="1">
      <c r="A651" s="28"/>
      <c r="B651" s="29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 ht="15.75" customHeight="1">
      <c r="A652" s="28"/>
      <c r="B652" s="29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 ht="15.75" customHeight="1">
      <c r="A653" s="28"/>
      <c r="B653" s="29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 ht="15.75" customHeight="1">
      <c r="A654" s="28"/>
      <c r="B654" s="29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 ht="15.75" customHeight="1">
      <c r="A655" s="28"/>
      <c r="B655" s="29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 ht="15.75" customHeight="1">
      <c r="A656" s="28"/>
      <c r="B656" s="29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 ht="15.75" customHeight="1">
      <c r="A657" s="28"/>
      <c r="B657" s="29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 ht="15.75" customHeight="1">
      <c r="A658" s="28"/>
      <c r="B658" s="29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 ht="15.75" customHeight="1">
      <c r="A659" s="28"/>
      <c r="B659" s="29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 ht="15.75" customHeight="1">
      <c r="A660" s="28"/>
      <c r="B660" s="29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ht="15.75" customHeight="1">
      <c r="A661" s="28"/>
      <c r="B661" s="29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 ht="15.75" customHeight="1">
      <c r="A662" s="28"/>
      <c r="B662" s="29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 ht="15.75" customHeight="1">
      <c r="A663" s="28"/>
      <c r="B663" s="29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 ht="15.75" customHeight="1">
      <c r="A664" s="28"/>
      <c r="B664" s="2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 ht="15.75" customHeight="1">
      <c r="A665" s="28"/>
      <c r="B665" s="29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 ht="15.75" customHeight="1">
      <c r="A666" s="28"/>
      <c r="B666" s="29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 ht="15.75" customHeight="1">
      <c r="A667" s="28"/>
      <c r="B667" s="29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 ht="15.75" customHeight="1">
      <c r="A668" s="28"/>
      <c r="B668" s="29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 ht="15.75" customHeight="1">
      <c r="A669" s="28"/>
      <c r="B669" s="29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 ht="15.75" customHeight="1">
      <c r="A670" s="28"/>
      <c r="B670" s="29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ht="15.75" customHeight="1">
      <c r="A671" s="28"/>
      <c r="B671" s="29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 ht="15.75" customHeight="1">
      <c r="A672" s="28"/>
      <c r="B672" s="29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 ht="15.75" customHeight="1">
      <c r="A673" s="28"/>
      <c r="B673" s="29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 ht="15.75" customHeight="1">
      <c r="A674" s="28"/>
      <c r="B674" s="29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 ht="15.75" customHeight="1">
      <c r="A675" s="28"/>
      <c r="B675" s="29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 ht="15.75" customHeight="1">
      <c r="A676" s="28"/>
      <c r="B676" s="29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 ht="15.75" customHeight="1">
      <c r="A677" s="28"/>
      <c r="B677" s="29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 ht="15.75" customHeight="1">
      <c r="A678" s="28"/>
      <c r="B678" s="29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 ht="15.75" customHeight="1">
      <c r="A679" s="28"/>
      <c r="B679" s="29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 ht="15.75" customHeight="1">
      <c r="A680" s="28"/>
      <c r="B680" s="29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ht="15.75" customHeight="1">
      <c r="A681" s="28"/>
      <c r="B681" s="29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 ht="15.75" customHeight="1">
      <c r="A682" s="28"/>
      <c r="B682" s="29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 ht="15.75" customHeight="1">
      <c r="A683" s="28"/>
      <c r="B683" s="29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 ht="15.75" customHeight="1">
      <c r="A684" s="28"/>
      <c r="B684" s="29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 ht="15.75" customHeight="1">
      <c r="A685" s="28"/>
      <c r="B685" s="29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 ht="15.75" customHeight="1">
      <c r="A686" s="28"/>
      <c r="B686" s="29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 ht="15.75" customHeight="1">
      <c r="A687" s="28"/>
      <c r="B687" s="29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 ht="15.75" customHeight="1">
      <c r="A688" s="28"/>
      <c r="B688" s="29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 ht="15.75" customHeight="1">
      <c r="A689" s="28"/>
      <c r="B689" s="29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ht="15.75" customHeight="1">
      <c r="A690" s="28"/>
      <c r="B690" s="29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 ht="15.75" customHeight="1">
      <c r="A691" s="28"/>
      <c r="B691" s="29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 ht="15.75" customHeight="1">
      <c r="A692" s="28"/>
      <c r="B692" s="29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 ht="15.75" customHeight="1">
      <c r="A693" s="28"/>
      <c r="B693" s="29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 ht="15.75" customHeight="1">
      <c r="A694" s="28"/>
      <c r="B694" s="29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 ht="15.75" customHeight="1">
      <c r="A695" s="28"/>
      <c r="B695" s="29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 ht="15.75" customHeight="1">
      <c r="A696" s="28"/>
      <c r="B696" s="29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 ht="15.75" customHeight="1">
      <c r="A697" s="28"/>
      <c r="B697" s="29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 ht="15.75" customHeight="1">
      <c r="A698" s="28"/>
      <c r="B698" s="29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 ht="15.75" customHeight="1">
      <c r="A699" s="28"/>
      <c r="B699" s="29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 ht="15.75" customHeight="1">
      <c r="A700" s="28"/>
      <c r="B700" s="29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ht="15.75" customHeight="1">
      <c r="A701" s="28"/>
      <c r="B701" s="29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 ht="15.75" customHeight="1">
      <c r="A702" s="28"/>
      <c r="B702" s="29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 ht="15.75" customHeight="1">
      <c r="A703" s="28"/>
      <c r="B703" s="29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 ht="15.75" customHeight="1">
      <c r="A704" s="28"/>
      <c r="B704" s="29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 ht="15.75" customHeight="1">
      <c r="A705" s="28"/>
      <c r="B705" s="29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 ht="15.75" customHeight="1">
      <c r="A706" s="28"/>
      <c r="B706" s="29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 ht="15.75" customHeight="1">
      <c r="A707" s="28"/>
      <c r="B707" s="29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 ht="15.75" customHeight="1">
      <c r="A708" s="28"/>
      <c r="B708" s="29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 ht="15.75" customHeight="1">
      <c r="A709" s="28"/>
      <c r="B709" s="29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 ht="15.75" customHeight="1">
      <c r="A710" s="28"/>
      <c r="B710" s="29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ht="15.75" customHeight="1">
      <c r="A711" s="28"/>
      <c r="B711" s="29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 ht="15.75" customHeight="1">
      <c r="A712" s="28"/>
      <c r="B712" s="29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 ht="15.75" customHeight="1">
      <c r="A713" s="28"/>
      <c r="B713" s="29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 ht="15.75" customHeight="1">
      <c r="A714" s="28"/>
      <c r="B714" s="29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 ht="15.75" customHeight="1">
      <c r="A715" s="28"/>
      <c r="B715" s="29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 ht="15.75" customHeight="1">
      <c r="A716" s="28"/>
      <c r="B716" s="29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 ht="15.75" customHeight="1">
      <c r="A717" s="28"/>
      <c r="B717" s="29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 ht="15.75" customHeight="1">
      <c r="A718" s="28"/>
      <c r="B718" s="29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 ht="15.75" customHeight="1">
      <c r="A719" s="28"/>
      <c r="B719" s="29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ht="15.75" customHeight="1">
      <c r="A720" s="28"/>
      <c r="B720" s="29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 ht="15.75" customHeight="1">
      <c r="A721" s="28"/>
      <c r="B721" s="29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 ht="15.75" customHeight="1">
      <c r="A722" s="28"/>
      <c r="B722" s="29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 ht="15.75" customHeight="1">
      <c r="A723" s="28"/>
      <c r="B723" s="29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 ht="15.75" customHeight="1">
      <c r="A724" s="28"/>
      <c r="B724" s="29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 ht="15.75" customHeight="1">
      <c r="A725" s="28"/>
      <c r="B725" s="29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 ht="15.75" customHeight="1">
      <c r="A726" s="28"/>
      <c r="B726" s="29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 ht="15.75" customHeight="1">
      <c r="A727" s="28"/>
      <c r="B727" s="29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 ht="15.75" customHeight="1">
      <c r="A728" s="28"/>
      <c r="B728" s="29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ht="15.75" customHeight="1">
      <c r="A729" s="28"/>
      <c r="B729" s="29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 ht="15.75" customHeight="1">
      <c r="A730" s="28"/>
      <c r="B730" s="29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 ht="15.75" customHeight="1">
      <c r="A731" s="28"/>
      <c r="B731" s="29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 ht="15.75" customHeight="1">
      <c r="A732" s="28"/>
      <c r="B732" s="29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 ht="15.75" customHeight="1">
      <c r="A733" s="28"/>
      <c r="B733" s="29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 ht="15.75" customHeight="1">
      <c r="A734" s="28"/>
      <c r="B734" s="29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 ht="15.75" customHeight="1">
      <c r="A735" s="28"/>
      <c r="B735" s="29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 ht="15.75" customHeight="1">
      <c r="A736" s="28"/>
      <c r="B736" s="29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 ht="15.75" customHeight="1">
      <c r="A737" s="28"/>
      <c r="B737" s="29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 ht="15.75" customHeight="1">
      <c r="A738" s="28"/>
      <c r="B738" s="29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ht="15.75" customHeight="1">
      <c r="A739" s="28"/>
      <c r="B739" s="29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 ht="15.75" customHeight="1">
      <c r="A740" s="28"/>
      <c r="B740" s="29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 ht="15.75" customHeight="1">
      <c r="A741" s="28"/>
      <c r="B741" s="29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 ht="15.75" customHeight="1">
      <c r="A742" s="28"/>
      <c r="B742" s="29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 ht="15.75" customHeight="1">
      <c r="A743" s="28"/>
      <c r="B743" s="29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 ht="15.75" customHeight="1">
      <c r="A744" s="28"/>
      <c r="B744" s="29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 ht="15.75" customHeight="1">
      <c r="A745" s="28"/>
      <c r="B745" s="29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 ht="15.75" customHeight="1">
      <c r="A746" s="28"/>
      <c r="B746" s="29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 ht="15.75" customHeight="1">
      <c r="A747" s="28"/>
      <c r="B747" s="29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ht="15.75" customHeight="1">
      <c r="A748" s="28"/>
      <c r="B748" s="29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 ht="15.75" customHeight="1">
      <c r="A749" s="28"/>
      <c r="B749" s="29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 ht="15.75" customHeight="1">
      <c r="A750" s="28"/>
      <c r="B750" s="29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 ht="15.75" customHeight="1">
      <c r="A751" s="28"/>
      <c r="B751" s="29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 ht="15.75" customHeight="1">
      <c r="A752" s="28"/>
      <c r="B752" s="29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 ht="15.75" customHeight="1">
      <c r="A753" s="28"/>
      <c r="B753" s="29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 ht="15.75" customHeight="1">
      <c r="A754" s="28"/>
      <c r="B754" s="29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 ht="15.75" customHeight="1">
      <c r="A755" s="28"/>
      <c r="B755" s="29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 ht="15.75" customHeight="1">
      <c r="A756" s="28"/>
      <c r="B756" s="29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ht="15.75" customHeight="1">
      <c r="A757" s="28"/>
      <c r="B757" s="29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 ht="15.75" customHeight="1">
      <c r="A758" s="28"/>
      <c r="B758" s="29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 ht="15.75" customHeight="1">
      <c r="A759" s="28"/>
      <c r="B759" s="29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 ht="15.75" customHeight="1">
      <c r="A760" s="28"/>
      <c r="B760" s="29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 ht="15.75" customHeight="1">
      <c r="A761" s="28"/>
      <c r="B761" s="29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 ht="15.75" customHeight="1">
      <c r="A762" s="28"/>
      <c r="B762" s="29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 ht="15.75" customHeight="1">
      <c r="A763" s="28"/>
      <c r="B763" s="29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 ht="15.75" customHeight="1">
      <c r="A764" s="28"/>
      <c r="B764" s="29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 ht="15.75" customHeight="1">
      <c r="A765" s="28"/>
      <c r="B765" s="29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 ht="15.75" customHeight="1">
      <c r="A766" s="28"/>
      <c r="B766" s="29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ht="15.75" customHeight="1">
      <c r="A767" s="28"/>
      <c r="B767" s="29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 ht="15.75" customHeight="1">
      <c r="A768" s="28"/>
      <c r="B768" s="29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 ht="15.75" customHeight="1">
      <c r="A769" s="28"/>
      <c r="B769" s="29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 ht="15.75" customHeight="1">
      <c r="A770" s="28"/>
      <c r="B770" s="29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 ht="15.75" customHeight="1">
      <c r="A771" s="28"/>
      <c r="B771" s="29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 ht="15.75" customHeight="1">
      <c r="A772" s="28"/>
      <c r="B772" s="29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 ht="15.75" customHeight="1">
      <c r="A773" s="28"/>
      <c r="B773" s="29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 ht="15.75" customHeight="1">
      <c r="A774" s="28"/>
      <c r="B774" s="29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 ht="15.75" customHeight="1">
      <c r="A775" s="28"/>
      <c r="B775" s="29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ht="15.75" customHeight="1">
      <c r="A776" s="28"/>
      <c r="B776" s="29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 ht="15.75" customHeight="1">
      <c r="A777" s="28"/>
      <c r="B777" s="29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 ht="15.75" customHeight="1">
      <c r="A778" s="28"/>
      <c r="B778" s="29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 ht="15.75" customHeight="1">
      <c r="A779" s="28"/>
      <c r="B779" s="29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 ht="15.75" customHeight="1">
      <c r="A780" s="28"/>
      <c r="B780" s="29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 ht="15.75" customHeight="1">
      <c r="A781" s="28"/>
      <c r="B781" s="29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 ht="15.75" customHeight="1">
      <c r="A782" s="28"/>
      <c r="B782" s="29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 ht="15.75" customHeight="1">
      <c r="A783" s="28"/>
      <c r="B783" s="29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 ht="15.75" customHeight="1">
      <c r="A784" s="28"/>
      <c r="B784" s="29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 ht="15.75" customHeight="1">
      <c r="A785" s="28"/>
      <c r="B785" s="29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ht="15.75" customHeight="1">
      <c r="A786" s="28"/>
      <c r="B786" s="29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 ht="15.75" customHeight="1">
      <c r="A787" s="28"/>
      <c r="B787" s="29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 ht="15.75" customHeight="1">
      <c r="A788" s="28"/>
      <c r="B788" s="29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 ht="15.75" customHeight="1">
      <c r="A789" s="28"/>
      <c r="B789" s="29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 ht="15.75" customHeight="1">
      <c r="A790" s="28"/>
      <c r="B790" s="29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 ht="15.75" customHeight="1">
      <c r="A791" s="28"/>
      <c r="B791" s="29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 ht="15.75" customHeight="1">
      <c r="A792" s="28"/>
      <c r="B792" s="29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 ht="15.75" customHeight="1">
      <c r="A793" s="28"/>
      <c r="B793" s="29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 ht="15.75" customHeight="1">
      <c r="A794" s="28"/>
      <c r="B794" s="29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 ht="15.75" customHeight="1">
      <c r="A795" s="28"/>
      <c r="B795" s="29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ht="15.75" customHeight="1">
      <c r="A796" s="28"/>
      <c r="B796" s="29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 ht="15.75" customHeight="1">
      <c r="A797" s="28"/>
      <c r="B797" s="29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 ht="15.75" customHeight="1">
      <c r="A798" s="28"/>
      <c r="B798" s="29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 ht="15.75" customHeight="1">
      <c r="A799" s="28"/>
      <c r="B799" s="29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 ht="15.75" customHeight="1">
      <c r="A800" s="28"/>
      <c r="B800" s="29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 ht="15.75" customHeight="1">
      <c r="A801" s="28"/>
      <c r="B801" s="29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 ht="15.75" customHeight="1">
      <c r="A802" s="28"/>
      <c r="B802" s="29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 ht="15.75" customHeight="1">
      <c r="A803" s="28"/>
      <c r="B803" s="29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 ht="15.75" customHeight="1">
      <c r="A804" s="28"/>
      <c r="B804" s="29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ht="15.75" customHeight="1">
      <c r="A805" s="28"/>
      <c r="B805" s="29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 ht="15.75" customHeight="1">
      <c r="A806" s="28"/>
      <c r="B806" s="29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 ht="15.75" customHeight="1">
      <c r="A807" s="28"/>
      <c r="B807" s="29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 ht="15.75" customHeight="1">
      <c r="A808" s="28"/>
      <c r="B808" s="29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 ht="15.75" customHeight="1">
      <c r="A809" s="28"/>
      <c r="B809" s="29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 ht="15.75" customHeight="1">
      <c r="A810" s="28"/>
      <c r="B810" s="29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 ht="15.75" customHeight="1">
      <c r="A811" s="28"/>
      <c r="B811" s="29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 ht="15.75" customHeight="1">
      <c r="A812" s="28"/>
      <c r="B812" s="29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 ht="15.75" customHeight="1">
      <c r="A813" s="28"/>
      <c r="B813" s="29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 ht="15.75" customHeight="1">
      <c r="A814" s="28"/>
      <c r="B814" s="29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 ht="15.75" customHeight="1">
      <c r="A815" s="28"/>
      <c r="B815" s="29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ht="15.75" customHeight="1">
      <c r="A816" s="28"/>
      <c r="B816" s="29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 ht="15.75" customHeight="1">
      <c r="A817" s="28"/>
      <c r="B817" s="29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 ht="15.75" customHeight="1">
      <c r="A818" s="28"/>
      <c r="B818" s="29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 ht="15.75" customHeight="1">
      <c r="A819" s="28"/>
      <c r="B819" s="29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 ht="15.75" customHeight="1">
      <c r="A820" s="28"/>
      <c r="B820" s="29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 ht="15.75" customHeight="1">
      <c r="A821" s="28"/>
      <c r="B821" s="29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 ht="15.75" customHeight="1">
      <c r="A822" s="28"/>
      <c r="B822" s="29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 ht="15.75" customHeight="1">
      <c r="A823" s="28"/>
      <c r="B823" s="29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 ht="15.75" customHeight="1">
      <c r="A824" s="28"/>
      <c r="B824" s="29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ht="15.75" customHeight="1">
      <c r="A825" s="28"/>
      <c r="B825" s="29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 ht="15.75" customHeight="1">
      <c r="A826" s="28"/>
      <c r="B826" s="29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 ht="15.75" customHeight="1">
      <c r="A827" s="28"/>
      <c r="B827" s="29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 ht="15.75" customHeight="1">
      <c r="A828" s="28"/>
      <c r="B828" s="29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 ht="15.75" customHeight="1">
      <c r="A829" s="28"/>
      <c r="B829" s="29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 ht="15.75" customHeight="1">
      <c r="A830" s="28"/>
      <c r="B830" s="29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 ht="15.75" customHeight="1">
      <c r="A831" s="28"/>
      <c r="B831" s="29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 ht="15.75" customHeight="1">
      <c r="A832" s="28"/>
      <c r="B832" s="29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 ht="15.75" customHeight="1">
      <c r="A833" s="28"/>
      <c r="B833" s="29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ht="15.75" customHeight="1">
      <c r="A834" s="28"/>
      <c r="B834" s="29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 ht="15.75" customHeight="1">
      <c r="A835" s="28"/>
      <c r="B835" s="29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 ht="15.75" customHeight="1">
      <c r="A836" s="28"/>
      <c r="B836" s="29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 ht="15.75" customHeight="1">
      <c r="A837" s="28"/>
      <c r="B837" s="29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 ht="15.75" customHeight="1">
      <c r="A838" s="28"/>
      <c r="B838" s="29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 ht="15.75" customHeight="1">
      <c r="A839" s="28"/>
      <c r="B839" s="29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 ht="15.75" customHeight="1">
      <c r="A840" s="28"/>
      <c r="B840" s="29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 ht="15.75" customHeight="1">
      <c r="A841" s="28"/>
      <c r="B841" s="29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 ht="15.75" customHeight="1">
      <c r="A842" s="28"/>
      <c r="B842" s="29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ht="15.75" customHeight="1">
      <c r="A843" s="28"/>
      <c r="B843" s="29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 ht="15.75" customHeight="1">
      <c r="A844" s="28"/>
      <c r="B844" s="29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 ht="15.75" customHeight="1">
      <c r="A845" s="28"/>
      <c r="B845" s="29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 ht="15.75" customHeight="1">
      <c r="A846" s="28"/>
      <c r="B846" s="29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 ht="15.75" customHeight="1">
      <c r="A847" s="28"/>
      <c r="B847" s="29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 ht="15.75" customHeight="1">
      <c r="A848" s="28"/>
      <c r="B848" s="29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 ht="15.75" customHeight="1">
      <c r="A849" s="28"/>
      <c r="B849" s="29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 ht="15.75" customHeight="1">
      <c r="A850" s="28"/>
      <c r="B850" s="29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 ht="15.75" customHeight="1">
      <c r="A851" s="28"/>
      <c r="B851" s="29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ht="15.75" customHeight="1">
      <c r="A852" s="28"/>
      <c r="B852" s="29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 ht="15.75" customHeight="1">
      <c r="A853" s="28"/>
      <c r="B853" s="29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 ht="15.75" customHeight="1">
      <c r="A854" s="28"/>
      <c r="B854" s="29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 ht="15.75" customHeight="1">
      <c r="A855" s="28"/>
      <c r="B855" s="29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 ht="15.75" customHeight="1">
      <c r="A856" s="28"/>
      <c r="B856" s="29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 ht="15.75" customHeight="1">
      <c r="A857" s="28"/>
      <c r="B857" s="29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 ht="15.75" customHeight="1">
      <c r="A858" s="28"/>
      <c r="B858" s="29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 ht="15.75" customHeight="1">
      <c r="A859" s="28"/>
      <c r="B859" s="29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 ht="15.75" customHeight="1">
      <c r="A860" s="28"/>
      <c r="B860" s="29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 ht="15.75" customHeight="1">
      <c r="A861" s="28"/>
      <c r="B861" s="29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ht="15.75" customHeight="1">
      <c r="A862" s="28"/>
      <c r="B862" s="29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 ht="15.75" customHeight="1">
      <c r="A863" s="28"/>
      <c r="B863" s="29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 ht="15.75" customHeight="1">
      <c r="A864" s="28"/>
      <c r="B864" s="29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 ht="15.75" customHeight="1">
      <c r="A865" s="28"/>
      <c r="B865" s="29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 ht="15.75" customHeight="1">
      <c r="A866" s="28"/>
      <c r="B866" s="29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 ht="15.75" customHeight="1">
      <c r="A867" s="28"/>
      <c r="B867" s="29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 ht="15.75" customHeight="1">
      <c r="A868" s="28"/>
      <c r="B868" s="29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 ht="15.75" customHeight="1">
      <c r="A869" s="28"/>
      <c r="B869" s="29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 ht="15.75" customHeight="1">
      <c r="A870" s="28"/>
      <c r="B870" s="29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ht="15.75" customHeight="1">
      <c r="A871" s="28"/>
      <c r="B871" s="29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 ht="15.75" customHeight="1">
      <c r="A872" s="28"/>
      <c r="B872" s="29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 ht="15.75" customHeight="1">
      <c r="A873" s="28"/>
      <c r="B873" s="29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 ht="15.75" customHeight="1">
      <c r="A874" s="28"/>
      <c r="B874" s="29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 ht="15.75" customHeight="1">
      <c r="A875" s="28"/>
      <c r="B875" s="29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 ht="15.75" customHeight="1">
      <c r="A876" s="28"/>
      <c r="B876" s="29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 ht="15.75" customHeight="1">
      <c r="A877" s="28"/>
      <c r="B877" s="29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 ht="15.75" customHeight="1">
      <c r="A878" s="28"/>
      <c r="B878" s="29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 ht="15.75" customHeight="1">
      <c r="A879" s="28"/>
      <c r="B879" s="29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 ht="15.75" customHeight="1">
      <c r="A880" s="28"/>
      <c r="B880" s="29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 ht="15.75" customHeight="1">
      <c r="A881" s="28"/>
      <c r="B881" s="29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 ht="15.75" customHeight="1">
      <c r="A882" s="28"/>
      <c r="B882" s="29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ht="15.75" customHeight="1">
      <c r="A883" s="28"/>
      <c r="B883" s="29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 ht="15.75" customHeight="1">
      <c r="A884" s="28"/>
      <c r="B884" s="29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 ht="15.75" customHeight="1">
      <c r="A885" s="28"/>
      <c r="B885" s="29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 ht="15.75" customHeight="1">
      <c r="A886" s="28"/>
      <c r="B886" s="29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 ht="15.75" customHeight="1">
      <c r="A887" s="28"/>
      <c r="B887" s="29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 ht="15.75" customHeight="1">
      <c r="A888" s="28"/>
      <c r="B888" s="29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 ht="15.75" customHeight="1">
      <c r="A889" s="28"/>
      <c r="B889" s="29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 ht="15.75" customHeight="1">
      <c r="A890" s="28"/>
      <c r="B890" s="29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 ht="15.75" customHeight="1">
      <c r="A891" s="28"/>
      <c r="B891" s="29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ht="15.75" customHeight="1">
      <c r="A892" s="28"/>
      <c r="B892" s="29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 ht="15.75" customHeight="1">
      <c r="A893" s="28"/>
      <c r="B893" s="29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 ht="15.75" customHeight="1">
      <c r="A894" s="28"/>
      <c r="B894" s="29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 ht="15.75" customHeight="1">
      <c r="A895" s="28"/>
      <c r="B895" s="29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 ht="15.75" customHeight="1">
      <c r="A896" s="28"/>
      <c r="B896" s="29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 ht="15.75" customHeight="1">
      <c r="A897" s="28"/>
      <c r="B897" s="29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 ht="15.75" customHeight="1">
      <c r="A898" s="28"/>
      <c r="B898" s="29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 ht="15.75" customHeight="1">
      <c r="A899" s="28"/>
      <c r="B899" s="29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 ht="15.75" customHeight="1">
      <c r="A900" s="28"/>
      <c r="B900" s="29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ht="15.75" customHeight="1">
      <c r="A901" s="28"/>
      <c r="B901" s="29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 ht="15.75" customHeight="1">
      <c r="A902" s="28"/>
      <c r="B902" s="29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 ht="15.75" customHeight="1">
      <c r="A903" s="28"/>
      <c r="B903" s="29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 ht="15.75" customHeight="1">
      <c r="A904" s="28"/>
      <c r="B904" s="29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 ht="15.75" customHeight="1">
      <c r="A905" s="28"/>
      <c r="B905" s="29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 ht="15.75" customHeight="1">
      <c r="A906" s="28"/>
      <c r="B906" s="29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 ht="15.75" customHeight="1">
      <c r="A907" s="28"/>
      <c r="B907" s="29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 ht="15.75" customHeight="1">
      <c r="A908" s="28"/>
      <c r="B908" s="29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 ht="15.75" customHeight="1">
      <c r="A909" s="28"/>
      <c r="B909" s="29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 ht="15.75" customHeight="1">
      <c r="A910" s="28"/>
      <c r="B910" s="29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 ht="15.75" customHeight="1">
      <c r="A911" s="28"/>
      <c r="B911" s="29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 ht="15.75" customHeight="1">
      <c r="A912" s="28"/>
      <c r="B912" s="29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 ht="15.75" customHeight="1">
      <c r="A913" s="28"/>
      <c r="B913" s="29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 ht="15.75" customHeight="1">
      <c r="A914" s="28"/>
      <c r="B914" s="29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ht="15.75" customHeight="1">
      <c r="A915" s="28"/>
      <c r="B915" s="29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 ht="15.75" customHeight="1">
      <c r="A916" s="28"/>
      <c r="B916" s="29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 ht="15.75" customHeight="1">
      <c r="A917" s="28"/>
      <c r="B917" s="29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 ht="15.75" customHeight="1">
      <c r="A918" s="28"/>
      <c r="B918" s="29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 ht="15.75" customHeight="1">
      <c r="A919" s="28"/>
      <c r="B919" s="29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 ht="15.75" customHeight="1">
      <c r="A920" s="28"/>
      <c r="B920" s="29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 ht="15.75" customHeight="1">
      <c r="A921" s="28"/>
      <c r="B921" s="29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 ht="15.75" customHeight="1">
      <c r="A922" s="28"/>
      <c r="B922" s="29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 ht="15.75" customHeight="1">
      <c r="A923" s="28"/>
      <c r="B923" s="29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 ht="15.75" customHeight="1">
      <c r="A924" s="28"/>
      <c r="B924" s="29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 ht="15.75" customHeight="1">
      <c r="A925" s="28"/>
      <c r="B925" s="29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 ht="15.75" customHeight="1">
      <c r="A926" s="28"/>
      <c r="B926" s="29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 ht="15.75" customHeight="1">
      <c r="A927" s="28"/>
      <c r="B927" s="29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 ht="15.75" customHeight="1">
      <c r="A928" s="28"/>
      <c r="B928" s="29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 ht="15.75" customHeight="1">
      <c r="A929" s="28"/>
      <c r="B929" s="29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 ht="15.75" customHeight="1">
      <c r="A930" s="28"/>
      <c r="B930" s="29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 ht="15.75" customHeight="1">
      <c r="A931" s="28"/>
      <c r="B931" s="29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 ht="15.75" customHeight="1">
      <c r="A932" s="28"/>
      <c r="B932" s="29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 ht="15.75" customHeight="1">
      <c r="A933" s="28"/>
      <c r="B933" s="29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 ht="15.75" customHeight="1">
      <c r="A934" s="28"/>
      <c r="B934" s="29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 ht="15.75" customHeight="1">
      <c r="A935" s="28"/>
      <c r="B935" s="29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 ht="15.75" customHeight="1">
      <c r="A936" s="28"/>
      <c r="B936" s="29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 ht="15.75" customHeight="1">
      <c r="A937" s="28"/>
      <c r="B937" s="29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 ht="15.75" customHeight="1">
      <c r="A938" s="28"/>
      <c r="B938" s="29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 ht="15.75" customHeight="1">
      <c r="A939" s="28"/>
      <c r="B939" s="29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 ht="15.75" customHeight="1">
      <c r="A940" s="28"/>
      <c r="B940" s="29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 ht="15.75" customHeight="1">
      <c r="A941" s="28"/>
      <c r="B941" s="29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 ht="15.75" customHeight="1">
      <c r="A942" s="28"/>
      <c r="B942" s="29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 ht="15.75" customHeight="1">
      <c r="A943" s="28"/>
      <c r="B943" s="29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 ht="15.75" customHeight="1">
      <c r="A944" s="28"/>
      <c r="B944" s="29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 ht="15.75" customHeight="1">
      <c r="A945" s="28"/>
      <c r="B945" s="29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 ht="15.75" customHeight="1">
      <c r="A946" s="28"/>
      <c r="B946" s="29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 ht="15.75" customHeight="1">
      <c r="A947" s="28"/>
      <c r="B947" s="29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 ht="15.75" customHeight="1">
      <c r="A948" s="28"/>
      <c r="B948" s="29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 ht="15.75" customHeight="1">
      <c r="A949" s="28"/>
      <c r="B949" s="29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 ht="15.75" customHeight="1">
      <c r="A950" s="28"/>
      <c r="B950" s="29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 ht="15.75" customHeight="1">
      <c r="A951" s="28"/>
      <c r="B951" s="29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 ht="15.75" customHeight="1">
      <c r="A952" s="28"/>
      <c r="B952" s="29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 ht="15.75" customHeight="1">
      <c r="A953" s="28"/>
      <c r="B953" s="29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 ht="15.75" customHeight="1">
      <c r="A954" s="28"/>
      <c r="B954" s="29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 ht="15.75" customHeight="1">
      <c r="A955" s="28"/>
      <c r="B955" s="29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 ht="15.75" customHeight="1">
      <c r="A956" s="28"/>
      <c r="B956" s="29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 ht="15.75" customHeight="1">
      <c r="A957" s="28"/>
      <c r="B957" s="29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 ht="15.75" customHeight="1">
      <c r="A958" s="28"/>
      <c r="B958" s="29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 ht="15.75" customHeight="1">
      <c r="A959" s="28"/>
      <c r="B959" s="29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 ht="15.75" customHeight="1">
      <c r="A960" s="28"/>
      <c r="B960" s="29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 ht="15.75" customHeight="1">
      <c r="A961" s="28"/>
      <c r="B961" s="29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 ht="15.75" customHeight="1">
      <c r="A962" s="28"/>
      <c r="B962" s="29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 ht="15.75" customHeight="1">
      <c r="A963" s="28"/>
      <c r="B963" s="29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 ht="15.75" customHeight="1">
      <c r="A964" s="28"/>
      <c r="B964" s="29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 ht="15.75" customHeight="1">
      <c r="A965" s="28"/>
      <c r="B965" s="29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 ht="15.75" customHeight="1">
      <c r="A966" s="28"/>
      <c r="B966" s="29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 ht="15.75" customHeight="1">
      <c r="A967" s="28"/>
      <c r="B967" s="29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 ht="15.75" customHeight="1">
      <c r="A968" s="28"/>
      <c r="B968" s="29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 ht="15.75" customHeight="1">
      <c r="A969" s="28"/>
      <c r="B969" s="29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 ht="15.75" customHeight="1">
      <c r="A970" s="28"/>
      <c r="B970" s="29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 ht="15.75" customHeight="1">
      <c r="A971" s="28"/>
      <c r="B971" s="29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 ht="15.75" customHeight="1">
      <c r="A972" s="28"/>
      <c r="B972" s="29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 ht="15.75" customHeight="1">
      <c r="A973" s="28"/>
      <c r="B973" s="29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 ht="15.75" customHeight="1">
      <c r="A974" s="28"/>
      <c r="B974" s="29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 ht="15.75" customHeight="1">
      <c r="A975" s="28"/>
      <c r="B975" s="29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 ht="15.75" customHeight="1">
      <c r="A976" s="28"/>
      <c r="B976" s="29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 ht="15.75" customHeight="1">
      <c r="A977" s="28"/>
      <c r="B977" s="29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 ht="15.75" customHeight="1">
      <c r="A978" s="28"/>
      <c r="B978" s="29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 ht="15.75" customHeight="1">
      <c r="A979" s="28"/>
      <c r="B979" s="29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 ht="15.75" customHeight="1">
      <c r="A980" s="28"/>
      <c r="B980" s="29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</sheetData>
  <mergeCells count="6">
    <mergeCell ref="A1:D1"/>
    <mergeCell ref="A2:D2"/>
    <mergeCell ref="A3:D3"/>
    <mergeCell ref="A4:A5"/>
    <mergeCell ref="B4:B5"/>
    <mergeCell ref="C4:D4"/>
  </mergeCells>
  <drawing r:id="rId1"/>
</worksheet>
</file>